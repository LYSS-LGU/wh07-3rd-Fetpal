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Fetpal_WBS_통합.csv" sheetId="1" r:id="rId4"/>
  </sheets>
  <definedNames/>
  <calcPr/>
</workbook>
</file>

<file path=xl/sharedStrings.xml><?xml version="1.0" encoding="utf-8"?>
<sst xmlns="http://schemas.openxmlformats.org/spreadsheetml/2006/main" count="506" uniqueCount="273">
  <si>
    <t>Group</t>
  </si>
  <si>
    <t>Task</t>
  </si>
  <si>
    <t>Subtask</t>
  </si>
  <si>
    <t>Description</t>
  </si>
  <si>
    <t>Link</t>
  </si>
  <si>
    <t>Team</t>
  </si>
  <si>
    <t>Assignee</t>
  </si>
  <si>
    <t>Start Date</t>
  </si>
  <si>
    <t>End Date</t>
  </si>
  <si>
    <t>Period</t>
  </si>
  <si>
    <t>Status</t>
  </si>
  <si>
    <t>Progress</t>
  </si>
  <si>
    <t>Phase 1: 프로젝트 기획</t>
  </si>
  <si>
    <t>완료</t>
  </si>
  <si>
    <t>Task 1</t>
  </si>
  <si>
    <t>요구사항 분석</t>
  </si>
  <si>
    <t>반려동물 AI 건강 케어 플랫폼 기획</t>
  </si>
  <si>
    <t>이유석</t>
  </si>
  <si>
    <t>주제 선정</t>
  </si>
  <si>
    <t>Fetpal - 반려동물 통합 케어 플랫폼 컨셉 수립</t>
  </si>
  <si>
    <t>문제정의 및 솔루션 도출</t>
  </si>
  <si>
    <t>사용자 페인포인트 분석 및 핵심 기능 정의</t>
  </si>
  <si>
    <t>Task 2</t>
  </si>
  <si>
    <t>프로젝트 산출물 작성</t>
  </si>
  <si>
    <t>기획서/ERD/시스템 흐름도/아키텍처 작성</t>
  </si>
  <si>
    <t>기능/비기능 요구사항 작성</t>
  </si>
  <si>
    <t>AI 건강진단 / 플래너 / 커뮤니티 등</t>
  </si>
  <si>
    <t>시스템 아키텍처 설계</t>
  </si>
  <si>
    <t>MSA 구조 / 기술 스택 선정</t>
  </si>
  <si>
    <t>ERD 작성</t>
  </si>
  <si>
    <t>데이터베이스 40개+ 테이블 설계</t>
  </si>
  <si>
    <t>시스템 흐름도 작성</t>
  </si>
  <si>
    <t>주요 기능별 프로세스 플로우 설계</t>
  </si>
  <si>
    <t>Task 3</t>
  </si>
  <si>
    <t>UI/UX 디자인</t>
  </si>
  <si>
    <t>와이어프레임 및 컴포넌트 설계</t>
  </si>
  <si>
    <t>디자인 시스템 구축</t>
  </si>
  <si>
    <t>Next.js 14 App Router 기반 설계</t>
  </si>
  <si>
    <t>Phase 2: 백엔드 개발</t>
  </si>
  <si>
    <t>Task 4</t>
  </si>
  <si>
    <t>Supabase 설정</t>
  </si>
  <si>
    <t>프로젝트 생성 및 데이터베이스 초기화</t>
  </si>
  <si>
    <t>Task 5</t>
  </si>
  <si>
    <t>데이터베이스 스키마 구현</t>
  </si>
  <si>
    <t>40개+ 테이블 생성 (CamelCase)</t>
  </si>
  <si>
    <t>사용자/인증 테이블</t>
  </si>
  <si>
    <t>profiles / profileCompletion</t>
  </si>
  <si>
    <t>반려동물 테이블</t>
  </si>
  <si>
    <t>palProfiles / palHealthRecords / vaccinations</t>
  </si>
  <si>
    <t>커뮤니티 테이블</t>
  </si>
  <si>
    <t>communityPosts / postTags / postLikes / events</t>
  </si>
  <si>
    <t>플래너 테이블</t>
  </si>
  <si>
    <t>plannerEvents / plannerExpenses</t>
  </si>
  <si>
    <t>Task 6</t>
  </si>
  <si>
    <t>데이터베이스 로직 구현</t>
  </si>
  <si>
    <t>PostgreSQL 함수/트리거/RLS 정책</t>
  </si>
  <si>
    <t>함수 및 트리거 작성</t>
  </si>
  <si>
    <t>프로필 자동 생성 / updatedAt</t>
  </si>
  <si>
    <t>RLS 정책 적용</t>
  </si>
  <si>
    <t>60개+ Row Level Security 정책</t>
  </si>
  <si>
    <t>Task 7</t>
  </si>
  <si>
    <t>스토리지 설정</t>
  </si>
  <si>
    <t>버킷 생성 및 접근 제어 정책</t>
  </si>
  <si>
    <t>Phase 3: YOLO 데이터 수집</t>
  </si>
  <si>
    <t>Task 8</t>
  </si>
  <si>
    <t>데이터셋 다운로드</t>
  </si>
  <si>
    <t>AI-Hub 공공 데이터 668547개 이미지 수집</t>
  </si>
  <si>
    <t>Skin 데이터 수집</t>
  </si>
  <si>
    <t>피부질환 데이터 232253개 이미지</t>
  </si>
  <si>
    <t>Eyes 데이터 수집</t>
  </si>
  <si>
    <t>안구질환 데이터 217547개 이미지</t>
  </si>
  <si>
    <t>Health 데이터 수집</t>
  </si>
  <si>
    <t>건강정보 데이터 218747개 이미지</t>
  </si>
  <si>
    <t>Task 9</t>
  </si>
  <si>
    <t>데이터 파이프라인 구축</t>
  </si>
  <si>
    <t>JSON → YOLO 포맷 변환 자동화</t>
  </si>
  <si>
    <t>변환 스크립트 개발</t>
  </si>
  <si>
    <t>JSON 라벨 → YOLO txt 포맷</t>
  </si>
  <si>
    <t>중복/오류 제거 자동화</t>
  </si>
  <si>
    <t>데이터 품질 관리 시스템 (정제율 96.8%)</t>
  </si>
  <si>
    <t>Task 10</t>
  </si>
  <si>
    <t>데이터 전처리 및 EDA</t>
  </si>
  <si>
    <t>데이터 정제 및 탐색적 분석</t>
  </si>
  <si>
    <t>Skin 데이터 정제</t>
  </si>
  <si>
    <t>A7 무증상 데이터 3480개 제거</t>
  </si>
  <si>
    <t>클래스 불균형 분석</t>
  </si>
  <si>
    <t>데이터 분포 시각화 및 증강 전략</t>
  </si>
  <si>
    <t>Phase 3: YOLO 모델 개발</t>
  </si>
  <si>
    <t>Task 11</t>
  </si>
  <si>
    <t>Health 모델 훈련</t>
  </si>
  <si>
    <t>신체부위 인식 모델 (mAP50: 88.2%)</t>
  </si>
  <si>
    <t>모델 훈련</t>
  </si>
  <si>
    <t>YOLOv8m / 28 epochs / 21.5시간 GPU</t>
  </si>
  <si>
    <t>성능 평가</t>
  </si>
  <si>
    <t>full_body(98.8%) / head(86.8%) / nose(78.9%)</t>
  </si>
  <si>
    <t>모델 최적화 및 저장</t>
  </si>
  <si>
    <t>best.pt 모델 저장 (52MB)</t>
  </si>
  <si>
    <t>Task 12</t>
  </si>
  <si>
    <t>Eyes 모델 훈련</t>
  </si>
  <si>
    <t>안구질환 탐지 모델 (mAP50: 25.4%)</t>
  </si>
  <si>
    <t>YOLOv8m / 28 epochs / 72시간 GPU</t>
  </si>
  <si>
    <t>30개 클래스 성능 분석</t>
  </si>
  <si>
    <t>질환별 mAP 측정 및 위험도 분류</t>
  </si>
  <si>
    <t>best.pt 모델 저장 (50MB)</t>
  </si>
  <si>
    <t>Task 13</t>
  </si>
  <si>
    <t>Skin 모델 훈련</t>
  </si>
  <si>
    <t>피부질환 탐지 모델 (mAP50: 18.3%)</t>
  </si>
  <si>
    <t>1차 훈련 실패 분석</t>
  </si>
  <si>
    <t>하이퍼파라미터 자동 최적화 문제</t>
  </si>
  <si>
    <t>하이퍼파라미터 수동 튜닝</t>
  </si>
  <si>
    <t>배치 크기/학습률 등 수동 조정</t>
  </si>
  <si>
    <t>2차 훈련 성공</t>
  </si>
  <si>
    <t>YOLOv8m / 28 epochs / 38시간 GPU (2배 향상)</t>
  </si>
  <si>
    <t>Phase 3: AI 서버 개발</t>
  </si>
  <si>
    <t>Task 14</t>
  </si>
  <si>
    <t>FastAPI 서버 구축</t>
  </si>
  <si>
    <t>YOLO 추론 API 개발</t>
  </si>
  <si>
    <t>서버 환경 구축</t>
  </si>
  <si>
    <t>FastAPI / Uvicorn / Python 3.10</t>
  </si>
  <si>
    <t>API 엔드포인트 개발</t>
  </si>
  <si>
    <t>5개 엔드포인트 (/detect-skin/eyes/health/detect/health)</t>
  </si>
  <si>
    <t>Task 15</t>
  </si>
  <si>
    <t>멀티모델 관리 시스템</t>
  </si>
  <si>
    <t>3개 YOLO 모델 동시 운영</t>
  </si>
  <si>
    <t>모델 로딩 최적화</t>
  </si>
  <si>
    <t>Lazy Loading 패턴 / GPU 메모리 효율화</t>
  </si>
  <si>
    <t>에러 핸들링 구현</t>
  </si>
  <si>
    <t>모델 로드 실패 / 타임아웃 예외 처리</t>
  </si>
  <si>
    <t>Task 16</t>
  </si>
  <si>
    <t>LLM(RAG) 연동 준비</t>
  </si>
  <si>
    <t>OpenAI/Gemini API 연동 및 파이프라인 설계</t>
  </si>
  <si>
    <t>Phase 4: 프론트엔드 연동</t>
  </si>
  <si>
    <t>Task 17</t>
  </si>
  <si>
    <t>AI 어시스턴트 페이지 개발</t>
  </si>
  <si>
    <t>건강진단 UI 구현</t>
  </si>
  <si>
    <t>이미지 업로드 컴포넌트</t>
  </si>
  <si>
    <t>파일 선택 / 카메라 촬영 / 드래그앤드롭</t>
  </si>
  <si>
    <t>진단 유형 선택 UI</t>
  </si>
  <si>
    <t>피부 / 눈 / 전체 건강 진단 선택</t>
  </si>
  <si>
    <t>결과 시각화</t>
  </si>
  <si>
    <t>바운딩박스 렌더링 / 신뢰도 / 심각도 표시</t>
  </si>
  <si>
    <t>Task 18</t>
  </si>
  <si>
    <t>YOLO 모델 통합 및 개선</t>
  </si>
  <si>
    <t>감지 이슈 해결 및 시스템 구축 (데일리 2025-10-25~28)</t>
  </si>
  <si>
    <t>Eyes/Health 모델 이슈 해결</t>
  </si>
  <si>
    <t>confidence threshold 조정 / 우선순위 로직</t>
  </si>
  <si>
    <t>PetHospital 시스템 구축</t>
  </si>
  <si>
    <t>카카오 API / 24시 응급실 자동 감지 (신규!)</t>
  </si>
  <si>
    <t>AI 챗봇 프롬프트 강화</t>
  </si>
  <si>
    <t>해시태그 자동 생성 / Markdown 렌더러</t>
  </si>
  <si>
    <t>Task 19</t>
  </si>
  <si>
    <t>API 연동 및 테스트</t>
  </si>
  <si>
    <t>프론트엔드 ↔ AI 서버 통신</t>
  </si>
  <si>
    <t>CORS 문제 해결</t>
  </si>
  <si>
    <t>allow_origins 설정 / 크로스 도메인</t>
  </si>
  <si>
    <t>에러 핸들링</t>
  </si>
  <si>
    <t>로딩 상태 / 실패 메시지 / 재시도 로직</t>
  </si>
  <si>
    <t>페이지 로딩 속도 최적화</t>
  </si>
  <si>
    <t>85% 개선 (3-5초 → 0.1-0.5초)</t>
  </si>
  <si>
    <t>Task 20</t>
  </si>
  <si>
    <t>라이프스타일 채팅 시작</t>
  </si>
  <si>
    <t>테이블 생성 및 UI 구현</t>
  </si>
  <si>
    <t>테이블 구축</t>
  </si>
  <si>
    <t>lifestylechatrooms / lifestylechatmessages</t>
  </si>
  <si>
    <t>글로벌 로비 UI</t>
  </si>
  <si>
    <t>실시간 Supabase Realtime 구독</t>
  </si>
  <si>
    <t>해시태그 채팅방 UI</t>
  </si>
  <si>
    <t>트리거 기반 자동 추출 시스템</t>
  </si>
  <si>
    <t>Phase 5: RAG 시스템 구축</t>
  </si>
  <si>
    <t>Task 21</t>
  </si>
  <si>
    <t>RAG 시스템 최적화</t>
  </si>
  <si>
    <t>시연 영상용 최적화 (데일리 2025-10-31)</t>
  </si>
  <si>
    <t>Health 모델 UI 제거</t>
  </si>
  <si>
    <t>시연 영상 집중도 향상</t>
  </si>
  <si>
    <t>무의미한 해시태그 제거</t>
  </si>
  <si>
    <t>#무 / #nose 등 필터링</t>
  </si>
  <si>
    <t>답변 길이 증가</t>
  </si>
  <si>
    <t>maxOutputTokens 4096 → 8192</t>
  </si>
  <si>
    <t>Task 22</t>
  </si>
  <si>
    <t>Vector DB 구축</t>
  </si>
  <si>
    <t>pgvector Extension 설치 및 테이블 생성</t>
  </si>
  <si>
    <t>pgvector 확장 설치</t>
  </si>
  <si>
    <t>PostgreSQL Vector 검색 기능</t>
  </si>
  <si>
    <t>pet_knowledge_base 테이블</t>
  </si>
  <si>
    <t>HuggingFace Embedding API 연동 (384차원)</t>
  </si>
  <si>
    <t>자동 수집 트리거</t>
  </si>
  <si>
    <t>커뮤니티 게시글 → 지식 베이스</t>
  </si>
  <si>
    <t>Task 23</t>
  </si>
  <si>
    <t>LLM 답변 생성 파이프라인</t>
  </si>
  <si>
    <t>Vector Similarity Search 구현</t>
  </si>
  <si>
    <t>RAG 검색 함수 개발</t>
  </si>
  <si>
    <t>search_pet_knowledge (코사인 유사도)</t>
  </si>
  <si>
    <t>OpenAI/Gemini 연동</t>
  </si>
  <si>
    <t>시연 영상 촬영 및 전송</t>
  </si>
  <si>
    <t>강사님/매니저님께 전송 완료</t>
  </si>
  <si>
    <t>Task 24</t>
  </si>
  <si>
    <t>설정 페이지 알림 시스템</t>
  </si>
  <si>
    <t>알림 구조 재정리 (데일리 2025-11-02)</t>
  </si>
  <si>
    <t>알림 설정 4개 구분</t>
  </si>
  <si>
    <t>푸시 / 플래너 / 커뮤니티 / 라이프스타일</t>
  </si>
  <si>
    <t>DB 스키마 업데이트</t>
  </si>
  <si>
    <t>lifestylenotifications 컬럼 추가</t>
  </si>
  <si>
    <t>Task 25</t>
  </si>
  <si>
    <t>반응형 디자인 추가</t>
  </si>
  <si>
    <t>모바일 최적화 (데일리 2025-11-06)</t>
  </si>
  <si>
    <t>커뮤니티 모바일 반응형</t>
  </si>
  <si>
    <t>768px / 480px 브레이크포인트</t>
  </si>
  <si>
    <t>AI Assistant 모바일 개선</t>
  </si>
  <si>
    <t>좌측 패널 이미지 영역 개선</t>
  </si>
  <si>
    <t>Dashboard 모바일 강화</t>
  </si>
  <si>
    <t>우측 패널 기능 카드 최적화</t>
  </si>
  <si>
    <t>Task 26</t>
  </si>
  <si>
    <t>커뮤니티 실시간 댓글</t>
  </si>
  <si>
    <t>Supabase Realtime 구독 (데일리 2025-11-07)</t>
  </si>
  <si>
    <t>실시간 댓글 시스템</t>
  </si>
  <si>
    <t>모달 내 즉시 반영 + 페이지 동기화</t>
  </si>
  <si>
    <t>Phase 6: 라이프스타일 채팅</t>
  </si>
  <si>
    <t>Task 27</t>
  </si>
  <si>
    <t>반응형 디자인 완전 구현</t>
  </si>
  <si>
    <t>8개 CSS 파일 (데일리 2025-11-09)</t>
  </si>
  <si>
    <t>400px 모바일 대응</t>
  </si>
  <si>
    <t>4단계 브레이크포인트 (1280/900/768/400px)</t>
  </si>
  <si>
    <t>8개 CSS 파일 반응형</t>
  </si>
  <si>
    <t>realtimechat/bookmarktabs/hashtagrooms 등</t>
  </si>
  <si>
    <t>Task 28</t>
  </si>
  <si>
    <t>UI/UX 개선 및 리팩토링</t>
  </si>
  <si>
    <t>Flexbox 높이 통제 (데일리 2025-11-10)</t>
  </si>
  <si>
    <t>좌우 패널 높이 매칭</t>
  </si>
  <si>
    <t>align-items: stretch + min-height: 0</t>
  </si>
  <si>
    <t>Sticky 기능 복원</t>
  </si>
  <si>
    <t>position: sticky / top: 0</t>
  </si>
  <si>
    <t>툴팁 가시성 해결</t>
  </si>
  <si>
    <t>z-index: 10000 + overflow: visible</t>
  </si>
  <si>
    <t>Z-Index 레이어링 시스템</t>
  </si>
  <si>
    <t>0 → 10 → 100 → 199999 → 200000</t>
  </si>
  <si>
    <t>Phase 7: 배포 및 최종 점검</t>
  </si>
  <si>
    <t>진행중</t>
  </si>
  <si>
    <t>Task 29</t>
  </si>
  <si>
    <t>Vercel 배포</t>
  </si>
  <si>
    <t>프론트엔드 배포 및 모바일 최적화 (데일리 2025-11-06)</t>
  </si>
  <si>
    <t>Vercel 배포 성공</t>
  </si>
  <si>
    <t>https://fetpal.vercel.app</t>
  </si>
  <si>
    <t>모바일 반응형 9개 버그 수정</t>
  </si>
  <si>
    <t>usePathname SSR 에러 등 해결</t>
  </si>
  <si>
    <t>QR 코드 생성</t>
  </si>
  <si>
    <t>발표 준비 완료</t>
  </si>
  <si>
    <t>Task 30</t>
  </si>
  <si>
    <t>모델 성능 평가</t>
  </si>
  <si>
    <t>검증 데이터 기반 성능 측정</t>
  </si>
  <si>
    <t>모델정의서 작성</t>
  </si>
  <si>
    <t>3개 모델 스펙 / 클래스 정의</t>
  </si>
  <si>
    <t>성능평가 결과서 작성</t>
  </si>
  <si>
    <t>mAP 분석 / 실전 테스트 / 개선 방안</t>
  </si>
  <si>
    <t>Task 31</t>
  </si>
  <si>
    <t>프로젝트 문서 최신화</t>
  </si>
  <si>
    <t>발표용 산출물 정리</t>
  </si>
  <si>
    <t>WBS 최신화</t>
  </si>
  <si>
    <t>주차별 작업 현황 / 데일리 리포트 기반 날짜 조정</t>
  </si>
  <si>
    <t>ERD / 시스템 흐름도 최신화</t>
  </si>
  <si>
    <t>RAG / YOLO 시스템 반영</t>
  </si>
  <si>
    <t>시스템 아키텍처 최신화</t>
  </si>
  <si>
    <t>MSA 구조 / 기술 스택 업데이트</t>
  </si>
  <si>
    <t>데일리 리포트 작성</t>
  </si>
  <si>
    <t>2025-10-25~11-10 총 8개 작성</t>
  </si>
  <si>
    <t>Task 32</t>
  </si>
  <si>
    <t>발표 자료 제작</t>
  </si>
  <si>
    <t>PPT / 시연 영상 준비</t>
  </si>
  <si>
    <t>Canva PPT 제작</t>
  </si>
  <si>
    <t>15-20분 발표 슬라이드 (15장 내외)</t>
  </si>
  <si>
    <t>시연 영상 촬영</t>
  </si>
  <si>
    <t>실제 사용 시나리오 기반 데모 영상</t>
  </si>
  <si>
    <t>발표 리허설</t>
  </si>
  <si>
    <t>Q&amp;A 시나리오 준비 / 타이밍 조율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</si>
</sst>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0_Fetpal_WBS_통합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21" displayName="표1" name="표1" id="1">
  <tableColumns count="12">
    <tableColumn name="Group" id="1"/>
    <tableColumn name="Task" id="2"/>
    <tableColumn name="Subtask" id="3"/>
    <tableColumn name="Description" id="4"/>
    <tableColumn name="Link" id="5"/>
    <tableColumn name="Team" id="6"/>
    <tableColumn name="Assignee" id="7"/>
    <tableColumn name="Start Date" id="8"/>
    <tableColumn name="End Date" id="9"/>
    <tableColumn name="Period" id="10"/>
    <tableColumn name="Status" id="11"/>
    <tableColumn name="Progress" id="12"/>
  </tableColumns>
  <tableStyleInfo name="00_Fetpal_WBS_통합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etpal.vercel.app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0.5"/>
    <col customWidth="1" min="4" max="4" width="39.63"/>
    <col customWidth="1" min="8" max="8" width="16.25"/>
    <col customWidth="1" min="9" max="9" width="15.75"/>
    <col customWidth="1" min="10" max="10" width="13.63"/>
    <col customWidth="1" min="11" max="11" width="13.5"/>
    <col customWidth="1" min="12" max="12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H2" s="3">
        <v>45919.0</v>
      </c>
      <c r="I2" s="3">
        <v>45925.0</v>
      </c>
      <c r="J2" s="4">
        <f t="shared" ref="J2:J121" si="1">DAYS(I2, H2)</f>
        <v>6</v>
      </c>
      <c r="K2" s="5" t="s">
        <v>13</v>
      </c>
      <c r="L2" s="6">
        <v>1.0</v>
      </c>
    </row>
    <row r="3" ht="22.5" customHeight="1">
      <c r="B3" s="2" t="s">
        <v>14</v>
      </c>
      <c r="C3" s="2" t="s">
        <v>15</v>
      </c>
      <c r="D3" s="2" t="s">
        <v>16</v>
      </c>
      <c r="G3" s="2" t="s">
        <v>17</v>
      </c>
      <c r="H3" s="3">
        <v>45919.0</v>
      </c>
      <c r="I3" s="3">
        <v>45920.0</v>
      </c>
      <c r="J3" s="4">
        <f t="shared" si="1"/>
        <v>1</v>
      </c>
      <c r="K3" s="5" t="s">
        <v>13</v>
      </c>
      <c r="L3" s="6">
        <v>1.0</v>
      </c>
    </row>
    <row r="4" ht="22.5" customHeight="1">
      <c r="C4" s="2" t="s">
        <v>18</v>
      </c>
      <c r="D4" s="2" t="s">
        <v>19</v>
      </c>
      <c r="G4" s="2" t="s">
        <v>17</v>
      </c>
      <c r="H4" s="3">
        <v>45919.0</v>
      </c>
      <c r="I4" s="3">
        <v>45919.0</v>
      </c>
      <c r="J4" s="4">
        <f t="shared" si="1"/>
        <v>0</v>
      </c>
      <c r="K4" s="5" t="s">
        <v>13</v>
      </c>
      <c r="L4" s="6">
        <v>1.0</v>
      </c>
    </row>
    <row r="5" ht="22.5" customHeight="1">
      <c r="C5" s="2" t="s">
        <v>20</v>
      </c>
      <c r="D5" s="2" t="s">
        <v>21</v>
      </c>
      <c r="G5" s="2" t="s">
        <v>17</v>
      </c>
      <c r="H5" s="3">
        <v>45919.0</v>
      </c>
      <c r="I5" s="3">
        <v>45920.0</v>
      </c>
      <c r="J5" s="4">
        <f t="shared" si="1"/>
        <v>1</v>
      </c>
      <c r="K5" s="5" t="s">
        <v>13</v>
      </c>
      <c r="L5" s="6">
        <v>1.0</v>
      </c>
    </row>
    <row r="6" ht="22.5" customHeight="1">
      <c r="B6" s="2" t="s">
        <v>22</v>
      </c>
      <c r="C6" s="2" t="s">
        <v>23</v>
      </c>
      <c r="D6" s="2" t="s">
        <v>24</v>
      </c>
      <c r="G6" s="2" t="s">
        <v>17</v>
      </c>
      <c r="H6" s="3">
        <v>45921.0</v>
      </c>
      <c r="I6" s="3">
        <v>45925.0</v>
      </c>
      <c r="J6" s="4">
        <f t="shared" si="1"/>
        <v>4</v>
      </c>
      <c r="K6" s="5" t="s">
        <v>13</v>
      </c>
      <c r="L6" s="6">
        <v>1.0</v>
      </c>
    </row>
    <row r="7" ht="22.5" customHeight="1">
      <c r="C7" s="2" t="s">
        <v>25</v>
      </c>
      <c r="D7" s="2" t="s">
        <v>26</v>
      </c>
      <c r="G7" s="2" t="s">
        <v>17</v>
      </c>
      <c r="H7" s="3">
        <v>45921.0</v>
      </c>
      <c r="I7" s="3">
        <v>45923.0</v>
      </c>
      <c r="J7" s="4">
        <f t="shared" si="1"/>
        <v>2</v>
      </c>
      <c r="K7" s="5" t="s">
        <v>13</v>
      </c>
      <c r="L7" s="6">
        <v>1.0</v>
      </c>
    </row>
    <row r="8" ht="22.5" customHeight="1">
      <c r="C8" s="2" t="s">
        <v>27</v>
      </c>
      <c r="D8" s="2" t="s">
        <v>28</v>
      </c>
      <c r="G8" s="2" t="s">
        <v>17</v>
      </c>
      <c r="H8" s="3">
        <v>45922.0</v>
      </c>
      <c r="I8" s="3">
        <v>45923.0</v>
      </c>
      <c r="J8" s="4">
        <f t="shared" si="1"/>
        <v>1</v>
      </c>
      <c r="K8" s="5" t="s">
        <v>13</v>
      </c>
      <c r="L8" s="6">
        <v>1.0</v>
      </c>
    </row>
    <row r="9" ht="22.5" customHeight="1">
      <c r="C9" s="2" t="s">
        <v>29</v>
      </c>
      <c r="D9" s="2" t="s">
        <v>30</v>
      </c>
      <c r="G9" s="2" t="s">
        <v>17</v>
      </c>
      <c r="H9" s="3">
        <v>45923.0</v>
      </c>
      <c r="I9" s="3">
        <v>45925.0</v>
      </c>
      <c r="J9" s="4">
        <f t="shared" si="1"/>
        <v>2</v>
      </c>
      <c r="K9" s="5" t="s">
        <v>13</v>
      </c>
      <c r="L9" s="6">
        <v>1.0</v>
      </c>
    </row>
    <row r="10" ht="22.5" customHeight="1">
      <c r="C10" s="2" t="s">
        <v>31</v>
      </c>
      <c r="D10" s="2" t="s">
        <v>32</v>
      </c>
      <c r="G10" s="2" t="s">
        <v>17</v>
      </c>
      <c r="H10" s="3">
        <v>45924.0</v>
      </c>
      <c r="I10" s="3">
        <v>45925.0</v>
      </c>
      <c r="J10" s="4">
        <f t="shared" si="1"/>
        <v>1</v>
      </c>
      <c r="K10" s="5" t="s">
        <v>13</v>
      </c>
      <c r="L10" s="6">
        <v>1.0</v>
      </c>
    </row>
    <row r="11" ht="22.5" customHeight="1">
      <c r="B11" s="2" t="s">
        <v>33</v>
      </c>
      <c r="C11" s="2" t="s">
        <v>34</v>
      </c>
      <c r="D11" s="2" t="s">
        <v>35</v>
      </c>
      <c r="G11" s="2" t="s">
        <v>17</v>
      </c>
      <c r="H11" s="3">
        <v>45922.0</v>
      </c>
      <c r="I11" s="3">
        <v>45925.0</v>
      </c>
      <c r="J11" s="4">
        <f t="shared" si="1"/>
        <v>3</v>
      </c>
      <c r="K11" s="5" t="s">
        <v>13</v>
      </c>
      <c r="L11" s="6">
        <v>1.0</v>
      </c>
    </row>
    <row r="12" ht="22.5" customHeight="1">
      <c r="C12" s="2" t="s">
        <v>36</v>
      </c>
      <c r="D12" s="2" t="s">
        <v>37</v>
      </c>
      <c r="G12" s="2" t="s">
        <v>17</v>
      </c>
      <c r="H12" s="3">
        <v>45922.0</v>
      </c>
      <c r="I12" s="3">
        <v>45925.0</v>
      </c>
      <c r="J12" s="4">
        <f t="shared" si="1"/>
        <v>3</v>
      </c>
      <c r="K12" s="5" t="s">
        <v>13</v>
      </c>
      <c r="L12" s="6">
        <v>1.0</v>
      </c>
    </row>
    <row r="13" ht="22.5" customHeight="1">
      <c r="A13" s="2" t="s">
        <v>38</v>
      </c>
      <c r="H13" s="3">
        <v>45919.0</v>
      </c>
      <c r="I13" s="3">
        <v>45925.0</v>
      </c>
      <c r="J13" s="4">
        <f t="shared" si="1"/>
        <v>6</v>
      </c>
      <c r="K13" s="5" t="s">
        <v>13</v>
      </c>
      <c r="L13" s="6">
        <v>1.0</v>
      </c>
    </row>
    <row r="14" ht="22.5" customHeight="1">
      <c r="B14" s="2" t="s">
        <v>39</v>
      </c>
      <c r="C14" s="2" t="s">
        <v>40</v>
      </c>
      <c r="D14" s="2" t="s">
        <v>41</v>
      </c>
      <c r="G14" s="2" t="s">
        <v>17</v>
      </c>
      <c r="H14" s="3">
        <v>45919.0</v>
      </c>
      <c r="I14" s="3">
        <v>45920.0</v>
      </c>
      <c r="J14" s="4">
        <f t="shared" si="1"/>
        <v>1</v>
      </c>
      <c r="K14" s="5" t="s">
        <v>13</v>
      </c>
      <c r="L14" s="6">
        <v>1.0</v>
      </c>
    </row>
    <row r="15" ht="22.5" customHeight="1">
      <c r="B15" s="2" t="s">
        <v>42</v>
      </c>
      <c r="C15" s="2" t="s">
        <v>43</v>
      </c>
      <c r="D15" s="2" t="s">
        <v>44</v>
      </c>
      <c r="G15" s="2" t="s">
        <v>17</v>
      </c>
      <c r="H15" s="3">
        <v>45921.0</v>
      </c>
      <c r="I15" s="3">
        <v>45925.0</v>
      </c>
      <c r="J15" s="4">
        <f t="shared" si="1"/>
        <v>4</v>
      </c>
      <c r="K15" s="5" t="s">
        <v>13</v>
      </c>
      <c r="L15" s="6">
        <v>1.0</v>
      </c>
    </row>
    <row r="16" ht="22.5" customHeight="1">
      <c r="C16" s="2" t="s">
        <v>45</v>
      </c>
      <c r="D16" s="2" t="s">
        <v>46</v>
      </c>
      <c r="G16" s="2" t="s">
        <v>17</v>
      </c>
      <c r="H16" s="3">
        <v>45921.0</v>
      </c>
      <c r="I16" s="3">
        <v>45922.0</v>
      </c>
      <c r="J16" s="4">
        <f t="shared" si="1"/>
        <v>1</v>
      </c>
      <c r="K16" s="5" t="s">
        <v>13</v>
      </c>
      <c r="L16" s="6">
        <v>1.0</v>
      </c>
    </row>
    <row r="17" ht="22.5" customHeight="1">
      <c r="C17" s="2" t="s">
        <v>47</v>
      </c>
      <c r="D17" s="2" t="s">
        <v>48</v>
      </c>
      <c r="G17" s="2" t="s">
        <v>17</v>
      </c>
      <c r="H17" s="3">
        <v>45921.0</v>
      </c>
      <c r="I17" s="3">
        <v>45922.0</v>
      </c>
      <c r="J17" s="4">
        <f t="shared" si="1"/>
        <v>1</v>
      </c>
      <c r="K17" s="5" t="s">
        <v>13</v>
      </c>
      <c r="L17" s="6">
        <v>1.0</v>
      </c>
    </row>
    <row r="18" ht="22.5" customHeight="1">
      <c r="C18" s="2" t="s">
        <v>49</v>
      </c>
      <c r="D18" s="2" t="s">
        <v>50</v>
      </c>
      <c r="G18" s="2" t="s">
        <v>17</v>
      </c>
      <c r="H18" s="3">
        <v>45922.0</v>
      </c>
      <c r="I18" s="3">
        <v>45923.0</v>
      </c>
      <c r="J18" s="4">
        <f t="shared" si="1"/>
        <v>1</v>
      </c>
      <c r="K18" s="5" t="s">
        <v>13</v>
      </c>
      <c r="L18" s="6">
        <v>1.0</v>
      </c>
    </row>
    <row r="19" ht="22.5" customHeight="1">
      <c r="C19" s="2" t="s">
        <v>51</v>
      </c>
      <c r="D19" s="2" t="s">
        <v>52</v>
      </c>
      <c r="G19" s="2" t="s">
        <v>17</v>
      </c>
      <c r="H19" s="3">
        <v>45923.0</v>
      </c>
      <c r="I19" s="3">
        <v>45924.0</v>
      </c>
      <c r="J19" s="4">
        <f t="shared" si="1"/>
        <v>1</v>
      </c>
      <c r="K19" s="5" t="s">
        <v>13</v>
      </c>
      <c r="L19" s="6">
        <v>1.0</v>
      </c>
    </row>
    <row r="20" ht="22.5" customHeight="1">
      <c r="B20" s="2" t="s">
        <v>53</v>
      </c>
      <c r="C20" s="2" t="s">
        <v>54</v>
      </c>
      <c r="D20" s="2" t="s">
        <v>55</v>
      </c>
      <c r="G20" s="2" t="s">
        <v>17</v>
      </c>
      <c r="H20" s="3">
        <v>45922.0</v>
      </c>
      <c r="I20" s="3">
        <v>45925.0</v>
      </c>
      <c r="J20" s="4">
        <f t="shared" si="1"/>
        <v>3</v>
      </c>
      <c r="K20" s="5" t="s">
        <v>13</v>
      </c>
      <c r="L20" s="6">
        <v>1.0</v>
      </c>
    </row>
    <row r="21" ht="22.5" customHeight="1">
      <c r="C21" s="2" t="s">
        <v>56</v>
      </c>
      <c r="D21" s="2" t="s">
        <v>57</v>
      </c>
      <c r="G21" s="2" t="s">
        <v>17</v>
      </c>
      <c r="H21" s="3">
        <v>45922.0</v>
      </c>
      <c r="I21" s="3">
        <v>45924.0</v>
      </c>
      <c r="J21" s="4">
        <f t="shared" si="1"/>
        <v>2</v>
      </c>
      <c r="K21" s="5" t="s">
        <v>13</v>
      </c>
      <c r="L21" s="6">
        <v>1.0</v>
      </c>
    </row>
    <row r="22" ht="22.5" customHeight="1">
      <c r="C22" s="2" t="s">
        <v>58</v>
      </c>
      <c r="D22" s="2" t="s">
        <v>59</v>
      </c>
      <c r="G22" s="2" t="s">
        <v>17</v>
      </c>
      <c r="H22" s="3">
        <v>45923.0</v>
      </c>
      <c r="I22" s="3">
        <v>45925.0</v>
      </c>
      <c r="J22" s="4">
        <f t="shared" si="1"/>
        <v>2</v>
      </c>
      <c r="K22" s="5" t="s">
        <v>13</v>
      </c>
      <c r="L22" s="6">
        <v>1.0</v>
      </c>
    </row>
    <row r="23" ht="22.5" customHeight="1">
      <c r="B23" s="2" t="s">
        <v>60</v>
      </c>
      <c r="C23" s="2" t="s">
        <v>61</v>
      </c>
      <c r="D23" s="2" t="s">
        <v>62</v>
      </c>
      <c r="G23" s="2" t="s">
        <v>17</v>
      </c>
      <c r="H23" s="3">
        <v>45924.0</v>
      </c>
      <c r="I23" s="3">
        <v>45925.0</v>
      </c>
      <c r="J23" s="4">
        <f t="shared" si="1"/>
        <v>1</v>
      </c>
      <c r="K23" s="5" t="s">
        <v>13</v>
      </c>
      <c r="L23" s="6">
        <v>1.0</v>
      </c>
    </row>
    <row r="24" ht="22.5" customHeight="1">
      <c r="A24" s="2" t="s">
        <v>63</v>
      </c>
      <c r="H24" s="3">
        <v>45919.0</v>
      </c>
      <c r="I24" s="3">
        <v>45932.0</v>
      </c>
      <c r="J24" s="4">
        <f t="shared" si="1"/>
        <v>13</v>
      </c>
      <c r="K24" s="5" t="s">
        <v>13</v>
      </c>
      <c r="L24" s="6">
        <v>1.0</v>
      </c>
    </row>
    <row r="25" ht="22.5" customHeight="1">
      <c r="B25" s="2" t="s">
        <v>64</v>
      </c>
      <c r="C25" s="2" t="s">
        <v>65</v>
      </c>
      <c r="D25" s="2" t="s">
        <v>66</v>
      </c>
      <c r="G25" s="2" t="s">
        <v>17</v>
      </c>
      <c r="H25" s="3">
        <v>45919.0</v>
      </c>
      <c r="I25" s="3">
        <v>45925.0</v>
      </c>
      <c r="J25" s="4">
        <f t="shared" si="1"/>
        <v>6</v>
      </c>
      <c r="K25" s="5" t="s">
        <v>13</v>
      </c>
      <c r="L25" s="6">
        <v>1.0</v>
      </c>
    </row>
    <row r="26" ht="22.5" customHeight="1">
      <c r="C26" s="2" t="s">
        <v>67</v>
      </c>
      <c r="D26" s="2" t="s">
        <v>68</v>
      </c>
      <c r="G26" s="2" t="s">
        <v>17</v>
      </c>
      <c r="H26" s="3">
        <v>45919.0</v>
      </c>
      <c r="I26" s="3">
        <v>45922.0</v>
      </c>
      <c r="J26" s="4">
        <f t="shared" si="1"/>
        <v>3</v>
      </c>
      <c r="K26" s="5" t="s">
        <v>13</v>
      </c>
      <c r="L26" s="6">
        <v>1.0</v>
      </c>
    </row>
    <row r="27" ht="22.5" customHeight="1">
      <c r="C27" s="2" t="s">
        <v>69</v>
      </c>
      <c r="D27" s="2" t="s">
        <v>70</v>
      </c>
      <c r="G27" s="2" t="s">
        <v>17</v>
      </c>
      <c r="H27" s="3">
        <v>45920.0</v>
      </c>
      <c r="I27" s="3">
        <v>45923.0</v>
      </c>
      <c r="J27" s="4">
        <f t="shared" si="1"/>
        <v>3</v>
      </c>
      <c r="K27" s="5" t="s">
        <v>13</v>
      </c>
      <c r="L27" s="6">
        <v>1.0</v>
      </c>
    </row>
    <row r="28" ht="22.5" customHeight="1">
      <c r="C28" s="2" t="s">
        <v>71</v>
      </c>
      <c r="D28" s="2" t="s">
        <v>72</v>
      </c>
      <c r="G28" s="2" t="s">
        <v>17</v>
      </c>
      <c r="H28" s="3">
        <v>45921.0</v>
      </c>
      <c r="I28" s="3">
        <v>45924.0</v>
      </c>
      <c r="J28" s="4">
        <f t="shared" si="1"/>
        <v>3</v>
      </c>
      <c r="K28" s="5" t="s">
        <v>13</v>
      </c>
      <c r="L28" s="6">
        <v>1.0</v>
      </c>
    </row>
    <row r="29" ht="22.5" customHeight="1">
      <c r="B29" s="2" t="s">
        <v>73</v>
      </c>
      <c r="C29" s="2" t="s">
        <v>74</v>
      </c>
      <c r="D29" s="2" t="s">
        <v>75</v>
      </c>
      <c r="G29" s="2" t="s">
        <v>17</v>
      </c>
      <c r="H29" s="3">
        <v>45926.0</v>
      </c>
      <c r="I29" s="3">
        <v>45930.0</v>
      </c>
      <c r="J29" s="4">
        <f t="shared" si="1"/>
        <v>4</v>
      </c>
      <c r="K29" s="5" t="s">
        <v>13</v>
      </c>
      <c r="L29" s="6">
        <v>1.0</v>
      </c>
    </row>
    <row r="30" ht="22.5" customHeight="1">
      <c r="C30" s="2" t="s">
        <v>76</v>
      </c>
      <c r="D30" s="2" t="s">
        <v>77</v>
      </c>
      <c r="G30" s="2" t="s">
        <v>17</v>
      </c>
      <c r="H30" s="3">
        <v>45926.0</v>
      </c>
      <c r="I30" s="3">
        <v>45928.0</v>
      </c>
      <c r="J30" s="4">
        <f t="shared" si="1"/>
        <v>2</v>
      </c>
      <c r="K30" s="5" t="s">
        <v>13</v>
      </c>
      <c r="L30" s="6">
        <v>1.0</v>
      </c>
    </row>
    <row r="31" ht="22.5" customHeight="1">
      <c r="C31" s="2" t="s">
        <v>78</v>
      </c>
      <c r="D31" s="2" t="s">
        <v>79</v>
      </c>
      <c r="G31" s="2" t="s">
        <v>17</v>
      </c>
      <c r="H31" s="3">
        <v>45928.0</v>
      </c>
      <c r="I31" s="3">
        <v>45930.0</v>
      </c>
      <c r="J31" s="4">
        <f t="shared" si="1"/>
        <v>2</v>
      </c>
      <c r="K31" s="5" t="s">
        <v>13</v>
      </c>
      <c r="L31" s="6">
        <v>1.0</v>
      </c>
    </row>
    <row r="32" ht="22.5" customHeight="1">
      <c r="B32" s="2" t="s">
        <v>80</v>
      </c>
      <c r="C32" s="2" t="s">
        <v>81</v>
      </c>
      <c r="D32" s="2" t="s">
        <v>82</v>
      </c>
      <c r="G32" s="2" t="s">
        <v>17</v>
      </c>
      <c r="H32" s="3">
        <v>45926.0</v>
      </c>
      <c r="I32" s="3">
        <v>45932.0</v>
      </c>
      <c r="J32" s="4">
        <f t="shared" si="1"/>
        <v>6</v>
      </c>
      <c r="K32" s="5" t="s">
        <v>13</v>
      </c>
      <c r="L32" s="6">
        <v>1.0</v>
      </c>
    </row>
    <row r="33" ht="22.5" customHeight="1">
      <c r="C33" s="2" t="s">
        <v>83</v>
      </c>
      <c r="D33" s="2" t="s">
        <v>84</v>
      </c>
      <c r="G33" s="2" t="s">
        <v>17</v>
      </c>
      <c r="H33" s="3">
        <v>45926.0</v>
      </c>
      <c r="I33" s="3">
        <v>45928.0</v>
      </c>
      <c r="J33" s="4">
        <f t="shared" si="1"/>
        <v>2</v>
      </c>
      <c r="K33" s="5" t="s">
        <v>13</v>
      </c>
      <c r="L33" s="6">
        <v>1.0</v>
      </c>
    </row>
    <row r="34" ht="22.5" customHeight="1">
      <c r="C34" s="2" t="s">
        <v>85</v>
      </c>
      <c r="D34" s="2" t="s">
        <v>86</v>
      </c>
      <c r="G34" s="2" t="s">
        <v>17</v>
      </c>
      <c r="H34" s="3">
        <v>45929.0</v>
      </c>
      <c r="I34" s="3">
        <v>45932.0</v>
      </c>
      <c r="J34" s="4">
        <f t="shared" si="1"/>
        <v>3</v>
      </c>
      <c r="K34" s="5" t="s">
        <v>13</v>
      </c>
      <c r="L34" s="6">
        <v>1.0</v>
      </c>
    </row>
    <row r="35" ht="22.5" customHeight="1">
      <c r="A35" s="2" t="s">
        <v>87</v>
      </c>
      <c r="H35" s="3">
        <v>45933.0</v>
      </c>
      <c r="I35" s="3">
        <v>45946.0</v>
      </c>
      <c r="J35" s="4">
        <f t="shared" si="1"/>
        <v>13</v>
      </c>
      <c r="K35" s="5" t="s">
        <v>13</v>
      </c>
      <c r="L35" s="6">
        <v>1.0</v>
      </c>
    </row>
    <row r="36" ht="22.5" customHeight="1">
      <c r="B36" s="2" t="s">
        <v>88</v>
      </c>
      <c r="C36" s="2" t="s">
        <v>89</v>
      </c>
      <c r="D36" s="2" t="s">
        <v>90</v>
      </c>
      <c r="G36" s="2" t="s">
        <v>17</v>
      </c>
      <c r="H36" s="3">
        <v>45933.0</v>
      </c>
      <c r="I36" s="3">
        <v>45939.0</v>
      </c>
      <c r="J36" s="4">
        <f t="shared" si="1"/>
        <v>6</v>
      </c>
      <c r="K36" s="5" t="s">
        <v>13</v>
      </c>
      <c r="L36" s="6">
        <v>1.0</v>
      </c>
    </row>
    <row r="37" ht="22.5" customHeight="1">
      <c r="C37" s="2" t="s">
        <v>91</v>
      </c>
      <c r="D37" s="2" t="s">
        <v>92</v>
      </c>
      <c r="G37" s="2" t="s">
        <v>17</v>
      </c>
      <c r="H37" s="3">
        <v>45933.0</v>
      </c>
      <c r="I37" s="3">
        <v>45935.0</v>
      </c>
      <c r="J37" s="4">
        <f t="shared" si="1"/>
        <v>2</v>
      </c>
      <c r="K37" s="5" t="s">
        <v>13</v>
      </c>
      <c r="L37" s="6">
        <v>1.0</v>
      </c>
    </row>
    <row r="38" ht="22.5" customHeight="1">
      <c r="C38" s="2" t="s">
        <v>93</v>
      </c>
      <c r="D38" s="2" t="s">
        <v>94</v>
      </c>
      <c r="G38" s="2" t="s">
        <v>17</v>
      </c>
      <c r="H38" s="3">
        <v>45936.0</v>
      </c>
      <c r="I38" s="3">
        <v>45937.0</v>
      </c>
      <c r="J38" s="4">
        <f t="shared" si="1"/>
        <v>1</v>
      </c>
      <c r="K38" s="5" t="s">
        <v>13</v>
      </c>
      <c r="L38" s="6">
        <v>1.0</v>
      </c>
    </row>
    <row r="39" ht="22.5" customHeight="1">
      <c r="C39" s="2" t="s">
        <v>95</v>
      </c>
      <c r="D39" s="2" t="s">
        <v>96</v>
      </c>
      <c r="G39" s="2" t="s">
        <v>17</v>
      </c>
      <c r="H39" s="3">
        <v>45937.0</v>
      </c>
      <c r="I39" s="3">
        <v>45939.0</v>
      </c>
      <c r="J39" s="4">
        <f t="shared" si="1"/>
        <v>2</v>
      </c>
      <c r="K39" s="5" t="s">
        <v>13</v>
      </c>
      <c r="L39" s="6">
        <v>1.0</v>
      </c>
    </row>
    <row r="40" ht="22.5" customHeight="1">
      <c r="B40" s="2" t="s">
        <v>97</v>
      </c>
      <c r="C40" s="2" t="s">
        <v>98</v>
      </c>
      <c r="D40" s="2" t="s">
        <v>99</v>
      </c>
      <c r="G40" s="2" t="s">
        <v>17</v>
      </c>
      <c r="H40" s="3">
        <v>45933.0</v>
      </c>
      <c r="I40" s="3">
        <v>45939.0</v>
      </c>
      <c r="J40" s="4">
        <f t="shared" si="1"/>
        <v>6</v>
      </c>
      <c r="K40" s="5" t="s">
        <v>13</v>
      </c>
      <c r="L40" s="6">
        <v>1.0</v>
      </c>
    </row>
    <row r="41" ht="22.5" customHeight="1">
      <c r="C41" s="2" t="s">
        <v>91</v>
      </c>
      <c r="D41" s="2" t="s">
        <v>100</v>
      </c>
      <c r="G41" s="2" t="s">
        <v>17</v>
      </c>
      <c r="H41" s="3">
        <v>45933.0</v>
      </c>
      <c r="I41" s="3">
        <v>45936.0</v>
      </c>
      <c r="J41" s="4">
        <f t="shared" si="1"/>
        <v>3</v>
      </c>
      <c r="K41" s="5" t="s">
        <v>13</v>
      </c>
      <c r="L41" s="6">
        <v>1.0</v>
      </c>
    </row>
    <row r="42" ht="22.5" customHeight="1">
      <c r="C42" s="2" t="s">
        <v>101</v>
      </c>
      <c r="D42" s="2" t="s">
        <v>102</v>
      </c>
      <c r="G42" s="2" t="s">
        <v>17</v>
      </c>
      <c r="H42" s="3">
        <v>45936.0</v>
      </c>
      <c r="I42" s="3">
        <v>45938.0</v>
      </c>
      <c r="J42" s="4">
        <f t="shared" si="1"/>
        <v>2</v>
      </c>
      <c r="K42" s="5" t="s">
        <v>13</v>
      </c>
      <c r="L42" s="6">
        <v>1.0</v>
      </c>
    </row>
    <row r="43" ht="22.5" customHeight="1">
      <c r="C43" s="2" t="s">
        <v>95</v>
      </c>
      <c r="D43" s="2" t="s">
        <v>103</v>
      </c>
      <c r="G43" s="2" t="s">
        <v>17</v>
      </c>
      <c r="H43" s="3">
        <v>45938.0</v>
      </c>
      <c r="I43" s="3">
        <v>45939.0</v>
      </c>
      <c r="J43" s="4">
        <f t="shared" si="1"/>
        <v>1</v>
      </c>
      <c r="K43" s="5" t="s">
        <v>13</v>
      </c>
      <c r="L43" s="6">
        <v>1.0</v>
      </c>
    </row>
    <row r="44" ht="22.5" customHeight="1">
      <c r="B44" s="2" t="s">
        <v>104</v>
      </c>
      <c r="C44" s="2" t="s">
        <v>105</v>
      </c>
      <c r="D44" s="2" t="s">
        <v>106</v>
      </c>
      <c r="G44" s="2" t="s">
        <v>17</v>
      </c>
      <c r="H44" s="3">
        <v>45940.0</v>
      </c>
      <c r="I44" s="3">
        <v>45946.0</v>
      </c>
      <c r="J44" s="4">
        <f t="shared" si="1"/>
        <v>6</v>
      </c>
      <c r="K44" s="5" t="s">
        <v>13</v>
      </c>
      <c r="L44" s="6">
        <v>1.0</v>
      </c>
    </row>
    <row r="45" ht="22.5" customHeight="1">
      <c r="C45" s="2" t="s">
        <v>107</v>
      </c>
      <c r="D45" s="2" t="s">
        <v>108</v>
      </c>
      <c r="G45" s="2" t="s">
        <v>17</v>
      </c>
      <c r="H45" s="3">
        <v>45940.0</v>
      </c>
      <c r="I45" s="3">
        <v>45941.0</v>
      </c>
      <c r="J45" s="4">
        <f t="shared" si="1"/>
        <v>1</v>
      </c>
      <c r="K45" s="5" t="s">
        <v>13</v>
      </c>
      <c r="L45" s="6">
        <v>1.0</v>
      </c>
    </row>
    <row r="46" ht="22.5" customHeight="1">
      <c r="C46" s="2" t="s">
        <v>109</v>
      </c>
      <c r="D46" s="2" t="s">
        <v>110</v>
      </c>
      <c r="G46" s="2" t="s">
        <v>17</v>
      </c>
      <c r="H46" s="3">
        <v>45941.0</v>
      </c>
      <c r="I46" s="3">
        <v>45942.0</v>
      </c>
      <c r="J46" s="4">
        <f t="shared" si="1"/>
        <v>1</v>
      </c>
      <c r="K46" s="5" t="s">
        <v>13</v>
      </c>
      <c r="L46" s="6">
        <v>1.0</v>
      </c>
    </row>
    <row r="47" ht="22.5" customHeight="1">
      <c r="C47" s="2" t="s">
        <v>111</v>
      </c>
      <c r="D47" s="2" t="s">
        <v>112</v>
      </c>
      <c r="G47" s="2" t="s">
        <v>17</v>
      </c>
      <c r="H47" s="3">
        <v>45942.0</v>
      </c>
      <c r="I47" s="3">
        <v>45945.0</v>
      </c>
      <c r="J47" s="4">
        <f t="shared" si="1"/>
        <v>3</v>
      </c>
      <c r="K47" s="5" t="s">
        <v>13</v>
      </c>
      <c r="L47" s="6">
        <v>1.0</v>
      </c>
    </row>
    <row r="48" ht="22.5" customHeight="1">
      <c r="C48" s="2" t="s">
        <v>95</v>
      </c>
      <c r="D48" s="2" t="s">
        <v>96</v>
      </c>
      <c r="G48" s="2" t="s">
        <v>17</v>
      </c>
      <c r="H48" s="3">
        <v>45945.0</v>
      </c>
      <c r="I48" s="3">
        <v>45946.0</v>
      </c>
      <c r="J48" s="4">
        <f t="shared" si="1"/>
        <v>1</v>
      </c>
      <c r="K48" s="5" t="s">
        <v>13</v>
      </c>
      <c r="L48" s="6">
        <v>1.0</v>
      </c>
    </row>
    <row r="49" ht="22.5" customHeight="1">
      <c r="A49" s="2" t="s">
        <v>113</v>
      </c>
      <c r="H49" s="3">
        <v>45947.0</v>
      </c>
      <c r="I49" s="3">
        <v>45953.0</v>
      </c>
      <c r="J49" s="4">
        <f t="shared" si="1"/>
        <v>6</v>
      </c>
      <c r="K49" s="5" t="s">
        <v>13</v>
      </c>
      <c r="L49" s="6">
        <v>1.0</v>
      </c>
    </row>
    <row r="50" ht="22.5" customHeight="1">
      <c r="B50" s="2" t="s">
        <v>114</v>
      </c>
      <c r="C50" s="2" t="s">
        <v>115</v>
      </c>
      <c r="D50" s="2" t="s">
        <v>116</v>
      </c>
      <c r="G50" s="2" t="s">
        <v>17</v>
      </c>
      <c r="H50" s="3">
        <v>45947.0</v>
      </c>
      <c r="I50" s="3">
        <v>45950.0</v>
      </c>
      <c r="J50" s="4">
        <f t="shared" si="1"/>
        <v>3</v>
      </c>
      <c r="K50" s="5" t="s">
        <v>13</v>
      </c>
      <c r="L50" s="6">
        <v>1.0</v>
      </c>
    </row>
    <row r="51" ht="22.5" customHeight="1">
      <c r="C51" s="2" t="s">
        <v>117</v>
      </c>
      <c r="D51" s="2" t="s">
        <v>118</v>
      </c>
      <c r="G51" s="2" t="s">
        <v>17</v>
      </c>
      <c r="H51" s="3">
        <v>45947.0</v>
      </c>
      <c r="I51" s="3">
        <v>45948.0</v>
      </c>
      <c r="J51" s="4">
        <f t="shared" si="1"/>
        <v>1</v>
      </c>
      <c r="K51" s="5" t="s">
        <v>13</v>
      </c>
      <c r="L51" s="6">
        <v>1.0</v>
      </c>
    </row>
    <row r="52" ht="22.5" customHeight="1">
      <c r="C52" s="2" t="s">
        <v>119</v>
      </c>
      <c r="D52" s="2" t="s">
        <v>120</v>
      </c>
      <c r="G52" s="2" t="s">
        <v>17</v>
      </c>
      <c r="H52" s="3">
        <v>45948.0</v>
      </c>
      <c r="I52" s="3">
        <v>45950.0</v>
      </c>
      <c r="J52" s="4">
        <f t="shared" si="1"/>
        <v>2</v>
      </c>
      <c r="K52" s="5" t="s">
        <v>13</v>
      </c>
      <c r="L52" s="6">
        <v>1.0</v>
      </c>
    </row>
    <row r="53" ht="22.5" customHeight="1">
      <c r="B53" s="2" t="s">
        <v>121</v>
      </c>
      <c r="C53" s="2" t="s">
        <v>122</v>
      </c>
      <c r="D53" s="2" t="s">
        <v>123</v>
      </c>
      <c r="G53" s="2" t="s">
        <v>17</v>
      </c>
      <c r="H53" s="3">
        <v>45950.0</v>
      </c>
      <c r="I53" s="3">
        <v>45953.0</v>
      </c>
      <c r="J53" s="4">
        <f t="shared" si="1"/>
        <v>3</v>
      </c>
      <c r="K53" s="5" t="s">
        <v>13</v>
      </c>
      <c r="L53" s="6">
        <v>1.0</v>
      </c>
    </row>
    <row r="54" ht="22.5" customHeight="1">
      <c r="C54" s="2" t="s">
        <v>124</v>
      </c>
      <c r="D54" s="2" t="s">
        <v>125</v>
      </c>
      <c r="G54" s="2" t="s">
        <v>17</v>
      </c>
      <c r="H54" s="3">
        <v>45950.0</v>
      </c>
      <c r="I54" s="3">
        <v>45951.0</v>
      </c>
      <c r="J54" s="4">
        <f t="shared" si="1"/>
        <v>1</v>
      </c>
      <c r="K54" s="5" t="s">
        <v>13</v>
      </c>
      <c r="L54" s="6">
        <v>1.0</v>
      </c>
    </row>
    <row r="55" ht="22.5" customHeight="1">
      <c r="C55" s="2" t="s">
        <v>126</v>
      </c>
      <c r="D55" s="2" t="s">
        <v>127</v>
      </c>
      <c r="G55" s="2" t="s">
        <v>17</v>
      </c>
      <c r="H55" s="3">
        <v>45951.0</v>
      </c>
      <c r="I55" s="3">
        <v>45953.0</v>
      </c>
      <c r="J55" s="4">
        <f t="shared" si="1"/>
        <v>2</v>
      </c>
      <c r="K55" s="5" t="s">
        <v>13</v>
      </c>
      <c r="L55" s="6">
        <v>1.0</v>
      </c>
    </row>
    <row r="56" ht="22.5" customHeight="1">
      <c r="B56" s="2" t="s">
        <v>128</v>
      </c>
      <c r="C56" s="2" t="s">
        <v>129</v>
      </c>
      <c r="D56" s="2" t="s">
        <v>130</v>
      </c>
      <c r="G56" s="2" t="s">
        <v>17</v>
      </c>
      <c r="H56" s="3">
        <v>45947.0</v>
      </c>
      <c r="I56" s="3">
        <v>45953.0</v>
      </c>
      <c r="J56" s="4">
        <f t="shared" si="1"/>
        <v>6</v>
      </c>
      <c r="K56" s="5" t="s">
        <v>13</v>
      </c>
      <c r="L56" s="6">
        <v>1.0</v>
      </c>
    </row>
    <row r="57" ht="22.5" customHeight="1">
      <c r="A57" s="2" t="s">
        <v>131</v>
      </c>
      <c r="H57" s="3">
        <v>45954.0</v>
      </c>
      <c r="I57" s="3">
        <v>45961.0</v>
      </c>
      <c r="J57" s="4">
        <f t="shared" si="1"/>
        <v>7</v>
      </c>
      <c r="K57" s="5" t="s">
        <v>13</v>
      </c>
      <c r="L57" s="6">
        <v>1.0</v>
      </c>
    </row>
    <row r="58" ht="22.5" customHeight="1">
      <c r="B58" s="2" t="s">
        <v>132</v>
      </c>
      <c r="C58" s="2" t="s">
        <v>133</v>
      </c>
      <c r="D58" s="2" t="s">
        <v>134</v>
      </c>
      <c r="G58" s="2" t="s">
        <v>17</v>
      </c>
      <c r="H58" s="3">
        <v>45954.0</v>
      </c>
      <c r="I58" s="3">
        <v>45958.0</v>
      </c>
      <c r="J58" s="4">
        <f t="shared" si="1"/>
        <v>4</v>
      </c>
      <c r="K58" s="5" t="s">
        <v>13</v>
      </c>
      <c r="L58" s="6">
        <v>1.0</v>
      </c>
    </row>
    <row r="59" ht="22.5" customHeight="1">
      <c r="C59" s="2" t="s">
        <v>135</v>
      </c>
      <c r="D59" s="2" t="s">
        <v>136</v>
      </c>
      <c r="G59" s="2" t="s">
        <v>17</v>
      </c>
      <c r="H59" s="3">
        <v>45954.0</v>
      </c>
      <c r="I59" s="3">
        <v>45955.0</v>
      </c>
      <c r="J59" s="4">
        <f t="shared" si="1"/>
        <v>1</v>
      </c>
      <c r="K59" s="5" t="s">
        <v>13</v>
      </c>
      <c r="L59" s="6">
        <v>1.0</v>
      </c>
    </row>
    <row r="60" ht="22.5" customHeight="1">
      <c r="C60" s="2" t="s">
        <v>137</v>
      </c>
      <c r="D60" s="2" t="s">
        <v>138</v>
      </c>
      <c r="G60" s="2" t="s">
        <v>17</v>
      </c>
      <c r="H60" s="3">
        <v>45955.0</v>
      </c>
      <c r="I60" s="3">
        <v>45956.0</v>
      </c>
      <c r="J60" s="4">
        <f t="shared" si="1"/>
        <v>1</v>
      </c>
      <c r="K60" s="5" t="s">
        <v>13</v>
      </c>
      <c r="L60" s="6">
        <v>1.0</v>
      </c>
    </row>
    <row r="61" ht="22.5" customHeight="1">
      <c r="C61" s="2" t="s">
        <v>139</v>
      </c>
      <c r="D61" s="2" t="s">
        <v>140</v>
      </c>
      <c r="G61" s="2" t="s">
        <v>17</v>
      </c>
      <c r="H61" s="3">
        <v>45956.0</v>
      </c>
      <c r="I61" s="3">
        <v>45958.0</v>
      </c>
      <c r="J61" s="4">
        <f t="shared" si="1"/>
        <v>2</v>
      </c>
      <c r="K61" s="5" t="s">
        <v>13</v>
      </c>
      <c r="L61" s="6">
        <v>1.0</v>
      </c>
    </row>
    <row r="62" ht="22.5" customHeight="1">
      <c r="B62" s="2" t="s">
        <v>141</v>
      </c>
      <c r="C62" s="2" t="s">
        <v>142</v>
      </c>
      <c r="D62" s="2" t="s">
        <v>143</v>
      </c>
      <c r="G62" s="2" t="s">
        <v>17</v>
      </c>
      <c r="H62" s="3">
        <v>45955.0</v>
      </c>
      <c r="I62" s="3">
        <v>45958.0</v>
      </c>
      <c r="J62" s="4">
        <f t="shared" si="1"/>
        <v>3</v>
      </c>
      <c r="K62" s="5" t="s">
        <v>13</v>
      </c>
      <c r="L62" s="6">
        <v>1.0</v>
      </c>
    </row>
    <row r="63" ht="22.5" customHeight="1">
      <c r="C63" s="2" t="s">
        <v>144</v>
      </c>
      <c r="D63" s="2" t="s">
        <v>145</v>
      </c>
      <c r="G63" s="2" t="s">
        <v>17</v>
      </c>
      <c r="H63" s="3">
        <v>45955.0</v>
      </c>
      <c r="I63" s="3">
        <v>45959.0</v>
      </c>
      <c r="J63" s="4">
        <f t="shared" si="1"/>
        <v>4</v>
      </c>
      <c r="K63" s="5" t="s">
        <v>13</v>
      </c>
      <c r="L63" s="6">
        <v>1.0</v>
      </c>
    </row>
    <row r="64" ht="22.5" customHeight="1">
      <c r="C64" s="2" t="s">
        <v>146</v>
      </c>
      <c r="D64" s="2" t="s">
        <v>147</v>
      </c>
      <c r="G64" s="2" t="s">
        <v>17</v>
      </c>
      <c r="H64" s="3">
        <v>45956.0</v>
      </c>
      <c r="I64" s="3">
        <v>45960.0</v>
      </c>
      <c r="J64" s="4">
        <f t="shared" si="1"/>
        <v>4</v>
      </c>
      <c r="K64" s="5" t="s">
        <v>13</v>
      </c>
      <c r="L64" s="6">
        <v>1.0</v>
      </c>
    </row>
    <row r="65" ht="22.5" customHeight="1">
      <c r="C65" s="2" t="s">
        <v>148</v>
      </c>
      <c r="D65" s="2" t="s">
        <v>149</v>
      </c>
      <c r="G65" s="2" t="s">
        <v>17</v>
      </c>
      <c r="H65" s="3">
        <v>45958.0</v>
      </c>
      <c r="I65" s="3">
        <v>45961.0</v>
      </c>
      <c r="J65" s="4">
        <f t="shared" si="1"/>
        <v>3</v>
      </c>
      <c r="K65" s="5" t="s">
        <v>13</v>
      </c>
      <c r="L65" s="6">
        <v>1.0</v>
      </c>
    </row>
    <row r="66" ht="22.5" customHeight="1">
      <c r="B66" s="2" t="s">
        <v>150</v>
      </c>
      <c r="C66" s="2" t="s">
        <v>151</v>
      </c>
      <c r="D66" s="2" t="s">
        <v>152</v>
      </c>
      <c r="G66" s="2" t="s">
        <v>17</v>
      </c>
      <c r="H66" s="3">
        <v>45958.0</v>
      </c>
      <c r="I66" s="3">
        <v>45961.0</v>
      </c>
      <c r="J66" s="4">
        <f t="shared" si="1"/>
        <v>3</v>
      </c>
      <c r="K66" s="5" t="s">
        <v>13</v>
      </c>
      <c r="L66" s="6">
        <v>1.0</v>
      </c>
    </row>
    <row r="67" ht="22.5" customHeight="1">
      <c r="C67" s="2" t="s">
        <v>153</v>
      </c>
      <c r="D67" s="2" t="s">
        <v>154</v>
      </c>
      <c r="G67" s="2" t="s">
        <v>17</v>
      </c>
      <c r="H67" s="3">
        <v>45958.0</v>
      </c>
      <c r="I67" s="3">
        <v>45959.0</v>
      </c>
      <c r="J67" s="4">
        <f t="shared" si="1"/>
        <v>1</v>
      </c>
      <c r="K67" s="5" t="s">
        <v>13</v>
      </c>
      <c r="L67" s="6">
        <v>1.0</v>
      </c>
    </row>
    <row r="68" ht="22.5" customHeight="1">
      <c r="C68" s="2" t="s">
        <v>155</v>
      </c>
      <c r="D68" s="2" t="s">
        <v>156</v>
      </c>
      <c r="G68" s="2" t="s">
        <v>17</v>
      </c>
      <c r="H68" s="3">
        <v>45959.0</v>
      </c>
      <c r="I68" s="3">
        <v>45960.0</v>
      </c>
      <c r="J68" s="4">
        <f t="shared" si="1"/>
        <v>1</v>
      </c>
      <c r="K68" s="5" t="s">
        <v>13</v>
      </c>
      <c r="L68" s="6">
        <v>1.0</v>
      </c>
    </row>
    <row r="69" ht="22.5" customHeight="1">
      <c r="C69" s="2" t="s">
        <v>157</v>
      </c>
      <c r="D69" s="2" t="s">
        <v>158</v>
      </c>
      <c r="G69" s="2" t="s">
        <v>17</v>
      </c>
      <c r="H69" s="3">
        <v>45960.0</v>
      </c>
      <c r="I69" s="3">
        <v>45961.0</v>
      </c>
      <c r="J69" s="4">
        <f t="shared" si="1"/>
        <v>1</v>
      </c>
      <c r="K69" s="5" t="s">
        <v>13</v>
      </c>
      <c r="L69" s="6">
        <v>1.0</v>
      </c>
    </row>
    <row r="70" ht="22.5" customHeight="1">
      <c r="B70" s="2" t="s">
        <v>159</v>
      </c>
      <c r="C70" s="2" t="s">
        <v>160</v>
      </c>
      <c r="D70" s="2" t="s">
        <v>161</v>
      </c>
      <c r="G70" s="2" t="s">
        <v>17</v>
      </c>
      <c r="H70" s="3">
        <v>45954.0</v>
      </c>
      <c r="I70" s="3">
        <v>45961.0</v>
      </c>
      <c r="J70" s="4">
        <f t="shared" si="1"/>
        <v>7</v>
      </c>
      <c r="K70" s="5" t="s">
        <v>13</v>
      </c>
      <c r="L70" s="6">
        <v>1.0</v>
      </c>
    </row>
    <row r="71" ht="22.5" customHeight="1">
      <c r="C71" s="2" t="s">
        <v>162</v>
      </c>
      <c r="D71" s="2" t="s">
        <v>163</v>
      </c>
      <c r="G71" s="2" t="s">
        <v>17</v>
      </c>
      <c r="H71" s="3">
        <v>45954.0</v>
      </c>
      <c r="I71" s="3">
        <v>45955.0</v>
      </c>
      <c r="J71" s="4">
        <f t="shared" si="1"/>
        <v>1</v>
      </c>
      <c r="K71" s="5" t="s">
        <v>13</v>
      </c>
      <c r="L71" s="6">
        <v>1.0</v>
      </c>
    </row>
    <row r="72" ht="22.5" customHeight="1">
      <c r="C72" s="2" t="s">
        <v>164</v>
      </c>
      <c r="D72" s="2" t="s">
        <v>165</v>
      </c>
      <c r="G72" s="2" t="s">
        <v>17</v>
      </c>
      <c r="H72" s="3">
        <v>45956.0</v>
      </c>
      <c r="I72" s="3">
        <v>45958.0</v>
      </c>
      <c r="J72" s="4">
        <f t="shared" si="1"/>
        <v>2</v>
      </c>
      <c r="K72" s="5" t="s">
        <v>13</v>
      </c>
      <c r="L72" s="6">
        <v>1.0</v>
      </c>
    </row>
    <row r="73" ht="22.5" customHeight="1">
      <c r="C73" s="2" t="s">
        <v>166</v>
      </c>
      <c r="D73" s="2" t="s">
        <v>167</v>
      </c>
      <c r="G73" s="2" t="s">
        <v>17</v>
      </c>
      <c r="H73" s="3">
        <v>45959.0</v>
      </c>
      <c r="I73" s="3">
        <v>45961.0</v>
      </c>
      <c r="J73" s="4">
        <f t="shared" si="1"/>
        <v>2</v>
      </c>
      <c r="K73" s="5" t="s">
        <v>13</v>
      </c>
      <c r="L73" s="6">
        <v>1.0</v>
      </c>
    </row>
    <row r="74" ht="22.5" customHeight="1">
      <c r="A74" s="2" t="s">
        <v>168</v>
      </c>
      <c r="H74" s="3">
        <v>45950.0</v>
      </c>
      <c r="I74" s="3">
        <v>45968.0</v>
      </c>
      <c r="J74" s="4">
        <f t="shared" si="1"/>
        <v>18</v>
      </c>
      <c r="K74" s="5" t="s">
        <v>13</v>
      </c>
      <c r="L74" s="6">
        <v>1.0</v>
      </c>
    </row>
    <row r="75" ht="22.5" customHeight="1">
      <c r="B75" s="2" t="s">
        <v>169</v>
      </c>
      <c r="C75" s="2" t="s">
        <v>170</v>
      </c>
      <c r="D75" s="2" t="s">
        <v>171</v>
      </c>
      <c r="G75" s="2" t="s">
        <v>17</v>
      </c>
      <c r="H75" s="3">
        <v>45961.0</v>
      </c>
      <c r="I75" s="3">
        <v>45968.0</v>
      </c>
      <c r="J75" s="4">
        <f t="shared" si="1"/>
        <v>7</v>
      </c>
      <c r="K75" s="5" t="s">
        <v>13</v>
      </c>
      <c r="L75" s="6">
        <v>1.0</v>
      </c>
    </row>
    <row r="76" ht="22.5" customHeight="1">
      <c r="C76" s="2" t="s">
        <v>172</v>
      </c>
      <c r="D76" s="2" t="s">
        <v>173</v>
      </c>
      <c r="G76" s="2" t="s">
        <v>17</v>
      </c>
      <c r="H76" s="3">
        <v>45961.0</v>
      </c>
      <c r="I76" s="3">
        <v>45968.0</v>
      </c>
      <c r="J76" s="4">
        <f t="shared" si="1"/>
        <v>7</v>
      </c>
      <c r="K76" s="5" t="s">
        <v>13</v>
      </c>
      <c r="L76" s="6">
        <v>1.0</v>
      </c>
    </row>
    <row r="77" ht="22.5" customHeight="1">
      <c r="C77" s="2" t="s">
        <v>174</v>
      </c>
      <c r="D77" s="2" t="s">
        <v>175</v>
      </c>
      <c r="G77" s="2" t="s">
        <v>17</v>
      </c>
      <c r="H77" s="3">
        <v>45961.0</v>
      </c>
      <c r="I77" s="3">
        <v>45968.0</v>
      </c>
      <c r="J77" s="4">
        <f t="shared" si="1"/>
        <v>7</v>
      </c>
      <c r="K77" s="5" t="s">
        <v>13</v>
      </c>
      <c r="L77" s="6">
        <v>1.0</v>
      </c>
    </row>
    <row r="78" ht="22.5" customHeight="1">
      <c r="C78" s="2" t="s">
        <v>176</v>
      </c>
      <c r="D78" s="2" t="s">
        <v>177</v>
      </c>
      <c r="G78" s="2" t="s">
        <v>17</v>
      </c>
      <c r="H78" s="3">
        <v>45961.0</v>
      </c>
      <c r="I78" s="3">
        <v>45968.0</v>
      </c>
      <c r="J78" s="4">
        <f t="shared" si="1"/>
        <v>7</v>
      </c>
      <c r="K78" s="5" t="s">
        <v>13</v>
      </c>
      <c r="L78" s="6">
        <v>1.0</v>
      </c>
    </row>
    <row r="79" ht="22.5" customHeight="1">
      <c r="B79" s="2" t="s">
        <v>178</v>
      </c>
      <c r="C79" s="2" t="s">
        <v>179</v>
      </c>
      <c r="D79" s="2" t="s">
        <v>180</v>
      </c>
      <c r="G79" s="2" t="s">
        <v>17</v>
      </c>
      <c r="H79" s="3">
        <v>45944.0</v>
      </c>
      <c r="I79" s="3">
        <v>45961.0</v>
      </c>
      <c r="J79" s="4">
        <f t="shared" si="1"/>
        <v>17</v>
      </c>
      <c r="K79" s="5" t="s">
        <v>13</v>
      </c>
      <c r="L79" s="6">
        <v>1.0</v>
      </c>
    </row>
    <row r="80" ht="22.5" customHeight="1">
      <c r="C80" s="2" t="s">
        <v>181</v>
      </c>
      <c r="D80" s="2" t="s">
        <v>182</v>
      </c>
      <c r="G80" s="2" t="s">
        <v>17</v>
      </c>
      <c r="H80" s="3">
        <v>45944.0</v>
      </c>
      <c r="I80" s="3">
        <v>45945.0</v>
      </c>
      <c r="J80" s="4">
        <f t="shared" si="1"/>
        <v>1</v>
      </c>
      <c r="K80" s="5" t="s">
        <v>13</v>
      </c>
      <c r="L80" s="6">
        <v>1.0</v>
      </c>
    </row>
    <row r="81" ht="22.5" customHeight="1">
      <c r="C81" s="2" t="s">
        <v>183</v>
      </c>
      <c r="D81" s="2" t="s">
        <v>184</v>
      </c>
      <c r="G81" s="2" t="s">
        <v>17</v>
      </c>
      <c r="H81" s="3">
        <v>45945.0</v>
      </c>
      <c r="I81" s="3">
        <v>45950.0</v>
      </c>
      <c r="J81" s="4">
        <f t="shared" si="1"/>
        <v>5</v>
      </c>
      <c r="K81" s="5" t="s">
        <v>13</v>
      </c>
      <c r="L81" s="6">
        <v>1.0</v>
      </c>
    </row>
    <row r="82" ht="22.5" customHeight="1">
      <c r="C82" s="2" t="s">
        <v>185</v>
      </c>
      <c r="D82" s="2" t="s">
        <v>186</v>
      </c>
      <c r="G82" s="2" t="s">
        <v>17</v>
      </c>
      <c r="H82" s="3">
        <v>45950.0</v>
      </c>
      <c r="I82" s="3">
        <v>45961.0</v>
      </c>
      <c r="J82" s="4">
        <f t="shared" si="1"/>
        <v>11</v>
      </c>
      <c r="K82" s="5" t="s">
        <v>13</v>
      </c>
      <c r="L82" s="6">
        <v>1.0</v>
      </c>
    </row>
    <row r="83" ht="22.5" customHeight="1">
      <c r="B83" s="2" t="s">
        <v>187</v>
      </c>
      <c r="C83" s="2" t="s">
        <v>188</v>
      </c>
      <c r="D83" s="2" t="s">
        <v>189</v>
      </c>
      <c r="G83" s="2" t="s">
        <v>17</v>
      </c>
      <c r="H83" s="3">
        <v>45944.0</v>
      </c>
      <c r="I83" s="3">
        <v>45961.0</v>
      </c>
      <c r="J83" s="4">
        <f t="shared" si="1"/>
        <v>17</v>
      </c>
      <c r="K83" s="5" t="s">
        <v>13</v>
      </c>
      <c r="L83" s="6">
        <v>1.0</v>
      </c>
    </row>
    <row r="84" ht="22.5" customHeight="1">
      <c r="C84" s="2" t="s">
        <v>190</v>
      </c>
      <c r="D84" s="2" t="s">
        <v>191</v>
      </c>
      <c r="G84" s="2" t="s">
        <v>17</v>
      </c>
      <c r="H84" s="3">
        <v>45944.0</v>
      </c>
      <c r="I84" s="3">
        <v>45950.0</v>
      </c>
      <c r="J84" s="4">
        <f t="shared" si="1"/>
        <v>6</v>
      </c>
      <c r="K84" s="5" t="s">
        <v>13</v>
      </c>
      <c r="L84" s="6">
        <v>1.0</v>
      </c>
    </row>
    <row r="85" ht="22.5" customHeight="1">
      <c r="C85" s="2" t="s">
        <v>192</v>
      </c>
      <c r="D85" s="2" t="s">
        <v>188</v>
      </c>
      <c r="G85" s="2" t="s">
        <v>17</v>
      </c>
      <c r="H85" s="3">
        <v>45950.0</v>
      </c>
      <c r="I85" s="3">
        <v>45961.0</v>
      </c>
      <c r="J85" s="4">
        <f t="shared" si="1"/>
        <v>11</v>
      </c>
      <c r="K85" s="5" t="s">
        <v>13</v>
      </c>
      <c r="L85" s="6">
        <v>1.0</v>
      </c>
    </row>
    <row r="86" ht="22.5" customHeight="1">
      <c r="C86" s="2" t="s">
        <v>193</v>
      </c>
      <c r="D86" s="2" t="s">
        <v>194</v>
      </c>
      <c r="G86" s="2" t="s">
        <v>17</v>
      </c>
      <c r="H86" s="3">
        <v>45961.0</v>
      </c>
      <c r="I86" s="3">
        <v>45961.0</v>
      </c>
      <c r="J86" s="4">
        <f t="shared" si="1"/>
        <v>0</v>
      </c>
      <c r="K86" s="5" t="s">
        <v>13</v>
      </c>
      <c r="L86" s="6">
        <v>1.0</v>
      </c>
    </row>
    <row r="87" ht="22.5" customHeight="1">
      <c r="B87" s="2" t="s">
        <v>195</v>
      </c>
      <c r="C87" s="2" t="s">
        <v>196</v>
      </c>
      <c r="D87" s="2" t="s">
        <v>197</v>
      </c>
      <c r="G87" s="2" t="s">
        <v>17</v>
      </c>
      <c r="H87" s="3">
        <v>45963.0</v>
      </c>
      <c r="I87" s="3">
        <v>45964.0</v>
      </c>
      <c r="J87" s="4">
        <f t="shared" si="1"/>
        <v>1</v>
      </c>
      <c r="K87" s="5" t="s">
        <v>13</v>
      </c>
      <c r="L87" s="6">
        <v>1.0</v>
      </c>
    </row>
    <row r="88" ht="22.5" customHeight="1">
      <c r="C88" s="2" t="s">
        <v>198</v>
      </c>
      <c r="D88" s="2" t="s">
        <v>199</v>
      </c>
      <c r="G88" s="2" t="s">
        <v>17</v>
      </c>
      <c r="H88" s="3">
        <v>45963.0</v>
      </c>
      <c r="I88" s="3">
        <v>45964.0</v>
      </c>
      <c r="J88" s="4">
        <f t="shared" si="1"/>
        <v>1</v>
      </c>
      <c r="K88" s="5" t="s">
        <v>13</v>
      </c>
      <c r="L88" s="6">
        <v>1.0</v>
      </c>
    </row>
    <row r="89" ht="22.5" customHeight="1">
      <c r="C89" s="2" t="s">
        <v>200</v>
      </c>
      <c r="D89" s="2" t="s">
        <v>201</v>
      </c>
      <c r="G89" s="2" t="s">
        <v>17</v>
      </c>
      <c r="H89" s="3">
        <v>45963.0</v>
      </c>
      <c r="I89" s="3">
        <v>45964.0</v>
      </c>
      <c r="J89" s="4">
        <f t="shared" si="1"/>
        <v>1</v>
      </c>
      <c r="K89" s="5" t="s">
        <v>13</v>
      </c>
      <c r="L89" s="6">
        <v>1.0</v>
      </c>
    </row>
    <row r="90" ht="22.5" customHeight="1">
      <c r="B90" s="2" t="s">
        <v>202</v>
      </c>
      <c r="C90" s="2" t="s">
        <v>203</v>
      </c>
      <c r="D90" s="2" t="s">
        <v>204</v>
      </c>
      <c r="G90" s="2" t="s">
        <v>17</v>
      </c>
      <c r="H90" s="3">
        <v>45967.0</v>
      </c>
      <c r="I90" s="3">
        <v>45967.0</v>
      </c>
      <c r="J90" s="4">
        <f t="shared" si="1"/>
        <v>0</v>
      </c>
      <c r="K90" s="5" t="s">
        <v>13</v>
      </c>
      <c r="L90" s="6">
        <v>1.0</v>
      </c>
    </row>
    <row r="91" ht="22.5" customHeight="1">
      <c r="C91" s="2" t="s">
        <v>205</v>
      </c>
      <c r="D91" s="2" t="s">
        <v>206</v>
      </c>
      <c r="G91" s="2" t="s">
        <v>17</v>
      </c>
      <c r="H91" s="3">
        <v>45967.0</v>
      </c>
      <c r="I91" s="3">
        <v>45967.0</v>
      </c>
      <c r="J91" s="4">
        <f t="shared" si="1"/>
        <v>0</v>
      </c>
      <c r="K91" s="5" t="s">
        <v>13</v>
      </c>
      <c r="L91" s="6">
        <v>1.0</v>
      </c>
    </row>
    <row r="92" ht="22.5" customHeight="1">
      <c r="C92" s="2" t="s">
        <v>207</v>
      </c>
      <c r="D92" s="2" t="s">
        <v>208</v>
      </c>
      <c r="G92" s="2" t="s">
        <v>17</v>
      </c>
      <c r="H92" s="3">
        <v>45967.0</v>
      </c>
      <c r="I92" s="3">
        <v>45967.0</v>
      </c>
      <c r="J92" s="4">
        <f t="shared" si="1"/>
        <v>0</v>
      </c>
      <c r="K92" s="5" t="s">
        <v>13</v>
      </c>
      <c r="L92" s="6">
        <v>1.0</v>
      </c>
    </row>
    <row r="93" ht="22.5" customHeight="1">
      <c r="C93" s="2" t="s">
        <v>209</v>
      </c>
      <c r="D93" s="2" t="s">
        <v>210</v>
      </c>
      <c r="G93" s="2" t="s">
        <v>17</v>
      </c>
      <c r="H93" s="3">
        <v>45967.0</v>
      </c>
      <c r="I93" s="3">
        <v>45967.0</v>
      </c>
      <c r="J93" s="4">
        <f t="shared" si="1"/>
        <v>0</v>
      </c>
      <c r="K93" s="5" t="s">
        <v>13</v>
      </c>
      <c r="L93" s="6">
        <v>1.0</v>
      </c>
    </row>
    <row r="94" ht="22.5" customHeight="1">
      <c r="B94" s="2" t="s">
        <v>211</v>
      </c>
      <c r="C94" s="2" t="s">
        <v>212</v>
      </c>
      <c r="D94" s="2" t="s">
        <v>213</v>
      </c>
      <c r="G94" s="2" t="s">
        <v>17</v>
      </c>
      <c r="H94" s="3">
        <v>45968.0</v>
      </c>
      <c r="I94" s="3">
        <v>45968.0</v>
      </c>
      <c r="J94" s="4">
        <f t="shared" si="1"/>
        <v>0</v>
      </c>
      <c r="K94" s="5" t="s">
        <v>13</v>
      </c>
      <c r="L94" s="6">
        <v>1.0</v>
      </c>
    </row>
    <row r="95" ht="22.5" customHeight="1">
      <c r="C95" s="2" t="s">
        <v>214</v>
      </c>
      <c r="D95" s="2" t="s">
        <v>215</v>
      </c>
      <c r="G95" s="2" t="s">
        <v>17</v>
      </c>
      <c r="H95" s="3">
        <v>45968.0</v>
      </c>
      <c r="I95" s="3">
        <v>45968.0</v>
      </c>
      <c r="J95" s="4">
        <f t="shared" si="1"/>
        <v>0</v>
      </c>
      <c r="K95" s="5" t="s">
        <v>13</v>
      </c>
      <c r="L95" s="6">
        <v>1.0</v>
      </c>
    </row>
    <row r="96" ht="22.5" customHeight="1">
      <c r="A96" s="2" t="s">
        <v>216</v>
      </c>
      <c r="H96" s="3">
        <v>45969.0</v>
      </c>
      <c r="I96" s="3">
        <v>45971.0</v>
      </c>
      <c r="J96" s="4">
        <f t="shared" si="1"/>
        <v>2</v>
      </c>
      <c r="K96" s="5" t="s">
        <v>13</v>
      </c>
      <c r="L96" s="6">
        <v>1.0</v>
      </c>
    </row>
    <row r="97" ht="22.5" customHeight="1">
      <c r="B97" s="2" t="s">
        <v>217</v>
      </c>
      <c r="C97" s="2" t="s">
        <v>218</v>
      </c>
      <c r="D97" s="2" t="s">
        <v>219</v>
      </c>
      <c r="G97" s="2" t="s">
        <v>17</v>
      </c>
      <c r="H97" s="3">
        <v>45970.0</v>
      </c>
      <c r="I97" s="3">
        <v>45970.0</v>
      </c>
      <c r="J97" s="4">
        <f t="shared" si="1"/>
        <v>0</v>
      </c>
      <c r="K97" s="5" t="s">
        <v>13</v>
      </c>
      <c r="L97" s="6">
        <v>1.0</v>
      </c>
    </row>
    <row r="98" ht="22.5" customHeight="1">
      <c r="C98" s="2" t="s">
        <v>220</v>
      </c>
      <c r="D98" s="2" t="s">
        <v>221</v>
      </c>
      <c r="G98" s="2" t="s">
        <v>17</v>
      </c>
      <c r="H98" s="3">
        <v>45970.0</v>
      </c>
      <c r="I98" s="3">
        <v>45970.0</v>
      </c>
      <c r="J98" s="4">
        <f t="shared" si="1"/>
        <v>0</v>
      </c>
      <c r="K98" s="5" t="s">
        <v>13</v>
      </c>
      <c r="L98" s="6">
        <v>1.0</v>
      </c>
    </row>
    <row r="99" ht="22.5" customHeight="1">
      <c r="C99" s="2" t="s">
        <v>222</v>
      </c>
      <c r="D99" s="2" t="s">
        <v>223</v>
      </c>
      <c r="G99" s="2" t="s">
        <v>17</v>
      </c>
      <c r="H99" s="3">
        <v>45970.0</v>
      </c>
      <c r="I99" s="3">
        <v>45970.0</v>
      </c>
      <c r="J99" s="4">
        <f t="shared" si="1"/>
        <v>0</v>
      </c>
      <c r="K99" s="5" t="s">
        <v>13</v>
      </c>
      <c r="L99" s="6">
        <v>1.0</v>
      </c>
    </row>
    <row r="100" ht="22.5" customHeight="1">
      <c r="B100" s="2" t="s">
        <v>224</v>
      </c>
      <c r="C100" s="2" t="s">
        <v>225</v>
      </c>
      <c r="D100" s="2" t="s">
        <v>226</v>
      </c>
      <c r="G100" s="2" t="s">
        <v>17</v>
      </c>
      <c r="H100" s="3">
        <v>45971.0</v>
      </c>
      <c r="I100" s="3">
        <v>45971.0</v>
      </c>
      <c r="J100" s="4">
        <f t="shared" si="1"/>
        <v>0</v>
      </c>
      <c r="K100" s="5" t="s">
        <v>13</v>
      </c>
      <c r="L100" s="6">
        <v>1.0</v>
      </c>
    </row>
    <row r="101" ht="22.5" customHeight="1">
      <c r="C101" s="2" t="s">
        <v>227</v>
      </c>
      <c r="D101" s="2" t="s">
        <v>228</v>
      </c>
      <c r="G101" s="2" t="s">
        <v>17</v>
      </c>
      <c r="H101" s="3">
        <v>45971.0</v>
      </c>
      <c r="I101" s="3">
        <v>45971.0</v>
      </c>
      <c r="J101" s="4">
        <f t="shared" si="1"/>
        <v>0</v>
      </c>
      <c r="K101" s="5" t="s">
        <v>13</v>
      </c>
      <c r="L101" s="6">
        <v>1.0</v>
      </c>
    </row>
    <row r="102" ht="22.5" customHeight="1">
      <c r="C102" s="2" t="s">
        <v>229</v>
      </c>
      <c r="D102" s="2" t="s">
        <v>230</v>
      </c>
      <c r="G102" s="2" t="s">
        <v>17</v>
      </c>
      <c r="H102" s="3">
        <v>45971.0</v>
      </c>
      <c r="I102" s="3">
        <v>45971.0</v>
      </c>
      <c r="J102" s="4">
        <f t="shared" si="1"/>
        <v>0</v>
      </c>
      <c r="K102" s="5" t="s">
        <v>13</v>
      </c>
      <c r="L102" s="6">
        <v>1.0</v>
      </c>
    </row>
    <row r="103" ht="22.5" customHeight="1">
      <c r="C103" s="2" t="s">
        <v>231</v>
      </c>
      <c r="D103" s="2" t="s">
        <v>232</v>
      </c>
      <c r="G103" s="2" t="s">
        <v>17</v>
      </c>
      <c r="H103" s="3">
        <v>45971.0</v>
      </c>
      <c r="I103" s="3">
        <v>45971.0</v>
      </c>
      <c r="J103" s="4">
        <f t="shared" si="1"/>
        <v>0</v>
      </c>
      <c r="K103" s="5" t="s">
        <v>13</v>
      </c>
      <c r="L103" s="6">
        <v>1.0</v>
      </c>
    </row>
    <row r="104" ht="22.5" customHeight="1">
      <c r="C104" s="2" t="s">
        <v>233</v>
      </c>
      <c r="D104" s="2" t="s">
        <v>234</v>
      </c>
      <c r="G104" s="2" t="s">
        <v>17</v>
      </c>
      <c r="H104" s="3">
        <v>45971.0</v>
      </c>
      <c r="I104" s="3">
        <v>45971.0</v>
      </c>
      <c r="J104" s="4">
        <f t="shared" si="1"/>
        <v>0</v>
      </c>
      <c r="K104" s="5" t="s">
        <v>13</v>
      </c>
      <c r="L104" s="6">
        <v>1.0</v>
      </c>
    </row>
    <row r="105" ht="22.5" customHeight="1">
      <c r="A105" s="2" t="s">
        <v>235</v>
      </c>
      <c r="H105" s="3">
        <v>45964.0</v>
      </c>
      <c r="I105" s="3">
        <v>45981.0</v>
      </c>
      <c r="J105" s="4">
        <f t="shared" si="1"/>
        <v>17</v>
      </c>
      <c r="K105" s="5" t="s">
        <v>236</v>
      </c>
      <c r="L105" s="6">
        <v>0.8</v>
      </c>
    </row>
    <row r="106" ht="22.5" customHeight="1">
      <c r="B106" s="2" t="s">
        <v>237</v>
      </c>
      <c r="C106" s="2" t="s">
        <v>238</v>
      </c>
      <c r="D106" s="2" t="s">
        <v>239</v>
      </c>
      <c r="G106" s="2" t="s">
        <v>17</v>
      </c>
      <c r="H106" s="3">
        <v>45964.0</v>
      </c>
      <c r="I106" s="3">
        <v>45981.0</v>
      </c>
      <c r="J106" s="4">
        <f t="shared" si="1"/>
        <v>17</v>
      </c>
      <c r="K106" s="5" t="s">
        <v>13</v>
      </c>
      <c r="L106" s="6">
        <v>1.0</v>
      </c>
    </row>
    <row r="107" ht="22.5" customHeight="1">
      <c r="C107" s="2" t="s">
        <v>240</v>
      </c>
      <c r="D107" s="7" t="s">
        <v>241</v>
      </c>
      <c r="G107" s="2" t="s">
        <v>17</v>
      </c>
      <c r="H107" s="3">
        <v>45965.0</v>
      </c>
      <c r="I107" s="3">
        <v>45981.0</v>
      </c>
      <c r="J107" s="4">
        <f t="shared" si="1"/>
        <v>16</v>
      </c>
      <c r="K107" s="5" t="s">
        <v>13</v>
      </c>
      <c r="L107" s="6">
        <v>1.0</v>
      </c>
    </row>
    <row r="108" ht="22.5" customHeight="1">
      <c r="C108" s="2" t="s">
        <v>242</v>
      </c>
      <c r="D108" s="2" t="s">
        <v>243</v>
      </c>
      <c r="G108" s="2" t="s">
        <v>17</v>
      </c>
      <c r="H108" s="3">
        <v>45966.0</v>
      </c>
      <c r="I108" s="3">
        <v>45981.0</v>
      </c>
      <c r="J108" s="4">
        <f t="shared" si="1"/>
        <v>15</v>
      </c>
      <c r="K108" s="5" t="s">
        <v>13</v>
      </c>
      <c r="L108" s="6">
        <v>1.0</v>
      </c>
    </row>
    <row r="109" ht="22.5" customHeight="1">
      <c r="C109" s="2" t="s">
        <v>244</v>
      </c>
      <c r="D109" s="2" t="s">
        <v>245</v>
      </c>
      <c r="G109" s="2" t="s">
        <v>17</v>
      </c>
      <c r="H109" s="3">
        <v>45967.0</v>
      </c>
      <c r="I109" s="3">
        <v>45981.0</v>
      </c>
      <c r="J109" s="4">
        <f t="shared" si="1"/>
        <v>14</v>
      </c>
      <c r="K109" s="5" t="s">
        <v>13</v>
      </c>
      <c r="L109" s="6">
        <v>1.0</v>
      </c>
    </row>
    <row r="110" ht="22.5" customHeight="1">
      <c r="B110" s="2" t="s">
        <v>246</v>
      </c>
      <c r="C110" s="2" t="s">
        <v>247</v>
      </c>
      <c r="D110" s="2" t="s">
        <v>248</v>
      </c>
      <c r="G110" s="2" t="s">
        <v>17</v>
      </c>
      <c r="H110" s="3">
        <v>45946.0</v>
      </c>
      <c r="I110" s="3">
        <v>45981.0</v>
      </c>
      <c r="J110" s="4">
        <f t="shared" si="1"/>
        <v>35</v>
      </c>
      <c r="K110" s="5" t="s">
        <v>13</v>
      </c>
      <c r="L110" s="6">
        <v>1.0</v>
      </c>
    </row>
    <row r="111" ht="22.5" customHeight="1">
      <c r="C111" s="2" t="s">
        <v>249</v>
      </c>
      <c r="D111" s="2" t="s">
        <v>250</v>
      </c>
      <c r="G111" s="2" t="s">
        <v>17</v>
      </c>
      <c r="H111" s="3">
        <v>45946.0</v>
      </c>
      <c r="I111" s="3">
        <v>45981.0</v>
      </c>
      <c r="J111" s="4">
        <f t="shared" si="1"/>
        <v>35</v>
      </c>
      <c r="K111" s="5" t="s">
        <v>13</v>
      </c>
      <c r="L111" s="6">
        <v>1.0</v>
      </c>
    </row>
    <row r="112" ht="22.5" customHeight="1">
      <c r="C112" s="2" t="s">
        <v>251</v>
      </c>
      <c r="D112" s="2" t="s">
        <v>252</v>
      </c>
      <c r="G112" s="2" t="s">
        <v>17</v>
      </c>
      <c r="H112" s="3">
        <v>45919.0</v>
      </c>
      <c r="I112" s="3">
        <v>45981.0</v>
      </c>
      <c r="J112" s="4">
        <f t="shared" si="1"/>
        <v>62</v>
      </c>
      <c r="K112" s="5" t="s">
        <v>13</v>
      </c>
      <c r="L112" s="6">
        <v>1.0</v>
      </c>
    </row>
    <row r="113" ht="22.5" customHeight="1">
      <c r="B113" s="2" t="s">
        <v>253</v>
      </c>
      <c r="C113" s="2" t="s">
        <v>254</v>
      </c>
      <c r="D113" s="2" t="s">
        <v>255</v>
      </c>
      <c r="G113" s="2" t="s">
        <v>17</v>
      </c>
      <c r="H113" s="3">
        <v>45965.0</v>
      </c>
      <c r="I113" s="3">
        <v>45981.0</v>
      </c>
      <c r="J113" s="4">
        <f t="shared" si="1"/>
        <v>16</v>
      </c>
      <c r="K113" s="5" t="s">
        <v>13</v>
      </c>
      <c r="L113" s="6">
        <v>1.0</v>
      </c>
    </row>
    <row r="114" ht="22.5" customHeight="1">
      <c r="C114" s="2" t="s">
        <v>256</v>
      </c>
      <c r="D114" s="2" t="s">
        <v>257</v>
      </c>
      <c r="G114" s="2" t="s">
        <v>17</v>
      </c>
      <c r="H114" s="3">
        <v>45965.0</v>
      </c>
      <c r="I114" s="3">
        <v>45981.0</v>
      </c>
      <c r="J114" s="4">
        <f t="shared" si="1"/>
        <v>16</v>
      </c>
      <c r="K114" s="5" t="s">
        <v>13</v>
      </c>
      <c r="L114" s="6">
        <v>1.0</v>
      </c>
    </row>
    <row r="115" ht="22.5" customHeight="1">
      <c r="C115" s="2" t="s">
        <v>258</v>
      </c>
      <c r="D115" s="2" t="s">
        <v>259</v>
      </c>
      <c r="G115" s="2" t="s">
        <v>17</v>
      </c>
      <c r="H115" s="3">
        <v>45966.0</v>
      </c>
      <c r="I115" s="3">
        <v>45981.0</v>
      </c>
      <c r="J115" s="4">
        <f t="shared" si="1"/>
        <v>15</v>
      </c>
      <c r="K115" s="5" t="s">
        <v>13</v>
      </c>
      <c r="L115" s="6">
        <v>1.0</v>
      </c>
    </row>
    <row r="116" ht="22.5" customHeight="1">
      <c r="C116" s="2" t="s">
        <v>260</v>
      </c>
      <c r="D116" s="2" t="s">
        <v>261</v>
      </c>
      <c r="G116" s="2" t="s">
        <v>17</v>
      </c>
      <c r="H116" s="3">
        <v>45967.0</v>
      </c>
      <c r="I116" s="3">
        <v>45981.0</v>
      </c>
      <c r="J116" s="4">
        <f t="shared" si="1"/>
        <v>14</v>
      </c>
      <c r="K116" s="5" t="s">
        <v>13</v>
      </c>
      <c r="L116" s="6">
        <v>1.0</v>
      </c>
    </row>
    <row r="117" ht="22.5" customHeight="1">
      <c r="C117" s="2" t="s">
        <v>262</v>
      </c>
      <c r="D117" s="2" t="s">
        <v>263</v>
      </c>
      <c r="G117" s="2" t="s">
        <v>17</v>
      </c>
      <c r="H117" s="3">
        <v>45955.0</v>
      </c>
      <c r="I117" s="3">
        <v>45981.0</v>
      </c>
      <c r="J117" s="4">
        <f t="shared" si="1"/>
        <v>26</v>
      </c>
      <c r="K117" s="5" t="s">
        <v>13</v>
      </c>
      <c r="L117" s="6">
        <v>1.0</v>
      </c>
    </row>
    <row r="118" ht="22.5" customHeight="1">
      <c r="B118" s="2" t="s">
        <v>264</v>
      </c>
      <c r="C118" s="2" t="s">
        <v>265</v>
      </c>
      <c r="D118" s="2" t="s">
        <v>266</v>
      </c>
      <c r="G118" s="2" t="s">
        <v>17</v>
      </c>
      <c r="H118" s="3">
        <v>45969.0</v>
      </c>
      <c r="I118" s="3">
        <v>45981.0</v>
      </c>
      <c r="J118" s="4">
        <f t="shared" si="1"/>
        <v>12</v>
      </c>
      <c r="K118" s="5" t="s">
        <v>236</v>
      </c>
      <c r="L118" s="6">
        <v>0.6</v>
      </c>
    </row>
    <row r="119" ht="22.5" customHeight="1">
      <c r="C119" s="2" t="s">
        <v>267</v>
      </c>
      <c r="D119" s="2" t="s">
        <v>268</v>
      </c>
      <c r="G119" s="2" t="s">
        <v>17</v>
      </c>
      <c r="H119" s="3">
        <v>45969.0</v>
      </c>
      <c r="I119" s="3">
        <v>45981.0</v>
      </c>
      <c r="J119" s="4">
        <f t="shared" si="1"/>
        <v>12</v>
      </c>
      <c r="K119" s="5" t="s">
        <v>236</v>
      </c>
      <c r="L119" s="6">
        <v>0.6</v>
      </c>
    </row>
    <row r="120" ht="22.5" customHeight="1">
      <c r="C120" s="2" t="s">
        <v>269</v>
      </c>
      <c r="D120" s="2" t="s">
        <v>270</v>
      </c>
      <c r="G120" s="2" t="s">
        <v>17</v>
      </c>
      <c r="H120" s="3">
        <v>45970.0</v>
      </c>
      <c r="I120" s="3">
        <v>45981.0</v>
      </c>
      <c r="J120" s="4">
        <f t="shared" si="1"/>
        <v>11</v>
      </c>
      <c r="K120" s="5" t="s">
        <v>13</v>
      </c>
      <c r="L120" s="6">
        <v>1.0</v>
      </c>
    </row>
    <row r="121" ht="22.5" customHeight="1">
      <c r="C121" s="2" t="s">
        <v>271</v>
      </c>
      <c r="D121" s="2" t="s">
        <v>272</v>
      </c>
      <c r="G121" s="2" t="s">
        <v>17</v>
      </c>
      <c r="H121" s="3">
        <v>45979.0</v>
      </c>
      <c r="I121" s="3">
        <v>45981.0</v>
      </c>
      <c r="J121" s="4">
        <f t="shared" si="1"/>
        <v>2</v>
      </c>
      <c r="K121" s="5" t="s">
        <v>236</v>
      </c>
      <c r="L121" s="6">
        <v>0.0</v>
      </c>
    </row>
  </sheetData>
  <dataValidations>
    <dataValidation type="list" allowBlank="1" showDropDown="1" showErrorMessage="1" sqref="K2:K121">
      <formula1>"완료,진행중,예정"</formula1>
    </dataValidation>
    <dataValidation type="custom" allowBlank="1" showDropDown="1" sqref="H2:I121">
      <formula1>OR(NOT(ISERROR(DATEVALUE(H2))), AND(ISNUMBER(H2), LEFT(CELL("format", H2))="D"))</formula1>
    </dataValidation>
    <dataValidation type="custom" allowBlank="1" showDropDown="1" sqref="J2:J121 L2:L121">
      <formula1>AND(ISNUMBER(J2),(NOT(OR(NOT(ISERROR(DATEVALUE(J2))), AND(ISNUMBER(J2), LEFT(CELL("format", J2))="D")))))</formula1>
    </dataValidation>
  </dataValidations>
  <hyperlinks>
    <hyperlink r:id="rId1" ref="D107"/>
  </hyperlinks>
  <drawing r:id="rId2"/>
  <tableParts count="1">
    <tablePart r:id="rId4"/>
  </tableParts>
</worksheet>
</file>